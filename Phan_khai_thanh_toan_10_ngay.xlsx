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ien do giai ngan" sheetId="1" state="visible" r:id="rId3"/>
    <sheet name="Tong hop theo dot" sheetId="2" state="visible" r:id="rId4"/>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D4" authorId="0">
      <text>
        <r>
          <rPr>
            <sz val="10"/>
            <rFont val="Arial"/>
            <family val="2"/>
          </rPr>
          <t xml:space="preserve">Số liệu do người dùng cung cấp: khởi công 12/8/2026</t>
        </r>
      </text>
    </comment>
    <comment ref="D12" authorId="0">
      <text>
        <r>
          <rPr>
            <sz val="10"/>
            <rFont val="Arial"/>
            <family val="2"/>
          </rPr>
          <t xml:space="preserve">Nguồn: Phụ lục 01 - Bảng tổng hợp KL, đơn giá, giá trị HĐ (file 3a - MB Đông Tiến), Mục 1 (dòng 9) trừ mục 1.3 Mặt đường; gồm 1.1, 1.2, 1.4, 1.5. Giá trị: 20,397,500,923 đồng</t>
        </r>
      </text>
    </comment>
    <comment ref="D13" authorId="0">
      <text>
        <r>
          <rPr>
            <sz val="10"/>
            <rFont val="Arial"/>
            <family val="2"/>
          </rPr>
          <t xml:space="preserve">Nguồn: Phụ lục 01 - Bảng tổng hợp KL, đơn giá, giá trị HĐ (file 3a - MB Đông Tiến), Mục 1.3 Mặt đường (dòng 26-31). Giá trị: 6,991,694,005 đồng</t>
        </r>
      </text>
    </comment>
    <comment ref="D14" authorId="0">
      <text>
        <r>
          <rPr>
            <sz val="10"/>
            <rFont val="Arial"/>
            <family val="2"/>
          </rPr>
          <t xml:space="preserve">Nguồn: Phụ lục 01 - Bảng tổng hợp KL, đơn giá, giá trị HĐ (file 3a - MB Đông Tiến), Mục 2 (dòng 41). Giá trị: 12,508,307,763 đồng</t>
        </r>
      </text>
    </comment>
    <comment ref="D15" authorId="0">
      <text>
        <r>
          <rPr>
            <sz val="10"/>
            <rFont val="Arial"/>
            <family val="2"/>
          </rPr>
          <t xml:space="preserve">Nguồn: Phụ lục 01 - Bảng tổng hợp KL, đơn giá, giá trị HĐ (file 3a - MB Đông Tiến), Mục 3 (dòng 204). Giá trị: 13,037,920,617 đồng</t>
        </r>
      </text>
    </comment>
    <comment ref="D16" authorId="0">
      <text>
        <r>
          <rPr>
            <sz val="10"/>
            <rFont val="Arial"/>
            <family val="2"/>
          </rPr>
          <t xml:space="preserve">Nguồn: Phụ lục 01 - Bảng tổng hợp KL, đơn giá, giá trị HĐ (file 3a - MB Đông Tiến), Mục 4 (dòng 349). Giá trị: 2,603,394,641 đồng</t>
        </r>
      </text>
    </comment>
    <comment ref="D17" authorId="0">
      <text>
        <r>
          <rPr>
            <sz val="10"/>
            <rFont val="Arial"/>
            <family val="2"/>
          </rPr>
          <t xml:space="preserve">Nguồn: Phụ lục 01 - Bảng tổng hợp KL, đơn giá, giá trị HĐ (file 3a - MB Đông Tiến), Mục 5 (dòng 393). Giá trị: 733,022,012 đồng</t>
        </r>
      </text>
    </comment>
    <comment ref="D18" authorId="0">
      <text>
        <r>
          <rPr>
            <sz val="10"/>
            <rFont val="Arial"/>
            <family val="2"/>
          </rPr>
          <t xml:space="preserve">Nguồn: Phụ lục 01 - Bảng tổng hợp KL, đơn giá, giá trị HĐ (file 3a - MB Đông Tiến), Mục 6+7+8+9 (dòng 543, 575, 580, 596). Giá trị: 1,145,769,849 đồng</t>
        </r>
      </text>
    </comment>
    <comment ref="D19" authorId="0">
      <text>
        <r>
          <rPr>
            <sz val="10"/>
            <rFont val="Arial"/>
            <family val="2"/>
          </rPr>
          <t xml:space="preserve">Nguồn: Phụ lục 01 - Bảng tổng hợp KL, đơn giá, giá trị HĐ (file 3a - MB Đông Tiến), Mục 10+11 (dòng 599, 629). Giá trị: 6,941,190,669 đồng</t>
        </r>
      </text>
    </comment>
    <comment ref="D20" authorId="0">
      <text>
        <r>
          <rPr>
            <sz val="10"/>
            <rFont val="Arial"/>
            <family val="2"/>
          </rPr>
          <t xml:space="preserve">Nguồn: Phụ lục 01 - Bảng tổng hợp KL, đơn giá, giá trị HĐ (file 3a - MB Đông Tiến), Mục 12+13+14 (dòng 643, 671, 682). Giá trị: 3,103,000,091 đồng</t>
        </r>
      </text>
    </comment>
    <comment ref="D21" authorId="0">
      <text>
        <r>
          <rPr>
            <sz val="10"/>
            <rFont val="Arial"/>
            <family val="2"/>
          </rPr>
          <t xml:space="preserve">Nguồn: Phụ lục 01 - Bảng tổng hợp KL, đơn giá, giá trị HĐ (file 3a - MB Đông Tiến), Mục 15+16 (dòng 702, 799). Giá trị: 2,006,749,266 đồng</t>
        </r>
      </text>
    </comment>
    <comment ref="D22" authorId="0">
      <text>
        <r>
          <rPr>
            <sz val="10"/>
            <rFont val="Arial"/>
            <family val="2"/>
          </rPr>
          <t xml:space="preserve">Nguồn: Phụ lục 01 - Bảng tổng hợp KL, đơn giá, giá trị HĐ (file 3a - MB Đông Tiến), Mục 17 (dòng 851). Giá trị: 1,589,359,622 đồng</t>
        </r>
      </text>
    </comment>
    <comment ref="D23" authorId="0">
      <text>
        <r>
          <rPr>
            <sz val="10"/>
            <rFont val="Arial"/>
            <family val="2"/>
          </rPr>
          <t xml:space="preserve">Nguồn: Phụ lục 01 - Bảng tổng hợp KL, đơn giá, giá trị HĐ (file 3a - MB Đông Tiến), Mục 18 (dòng 909). Giá trị: 2,888,550,335 đồng</t>
        </r>
      </text>
    </comment>
    <comment ref="D24" authorId="0">
      <text>
        <r>
          <rPr>
            <sz val="10"/>
            <rFont val="Arial"/>
            <family val="2"/>
          </rPr>
          <t xml:space="preserve">Nguồn: Phụ lục 01 - Bảng tổng hợp KL, đơn giá, giá trị HĐ (file 3a - MB Đông Tiến), Mục 19 (dòng 919). Giá trị: 268,522,155 đồng</t>
        </r>
      </text>
    </comment>
    <comment ref="D25" authorId="0">
      <text>
        <r>
          <rPr>
            <sz val="10"/>
            <rFont val="Arial"/>
            <family val="2"/>
          </rPr>
          <t xml:space="preserve">Nguồn: Phụ lục 01 - Bảng tổng hợp KL, đơn giá, giá trị HĐ (file 3a - MB Đông Tiến), Mục 20 (dòng 924) trừ mục 20.9 Chi phí khác. Giá trị: 1,470,100,252 đồng</t>
        </r>
      </text>
    </comment>
    <comment ref="D26" authorId="0">
      <text>
        <r>
          <rPr>
            <sz val="10"/>
            <rFont val="Arial"/>
            <family val="2"/>
          </rPr>
          <t xml:space="preserve">Nguồn: Phụ lục 01 - Bảng tổng hợp KL, đơn giá, giá trị HĐ (file 3a - MB Đông Tiến), Mục 20.9 Chi phí khác (dòng 961-966): vận chuyển TB, lắp đặt, cấy vi sinh, chạy thử, thí nghiệm. Giá trị: 383,515,000 đồng</t>
        </r>
      </text>
    </comment>
    <comment ref="J4" authorId="0">
      <text>
        <r>
          <rPr>
            <sz val="10"/>
            <rFont val="Arial"/>
            <family val="2"/>
          </rPr>
          <t xml:space="preserve">Số liệu do người dùng cung cấp: tiến độ 210 ngày</t>
        </r>
      </text>
    </comment>
  </commentList>
</comments>
</file>

<file path=xl/sharedStrings.xml><?xml version="1.0" encoding="utf-8"?>
<sst xmlns="http://schemas.openxmlformats.org/spreadsheetml/2006/main" count="87" uniqueCount="72">
  <si>
    <t xml:space="preserve">TIẾN ĐỘ GIẢI NGÂN (PHÂN KHAI THANH TOÁN THEO ĐỢT 10 NGÀY)</t>
  </si>
  <si>
    <t xml:space="preserve">Gói thầu số 09: Thi công xây dựng công trình (bao gồm chi phí xây dựng, chi phí thiết bị) thuộc dự án: Hạ tầng kỹ thuật khu tái định cư vị trí số 02, phường Đông Tiến, tỉnh Thanh Hoá (thuộc dự án giải phóng mặt bằng dự án đường sắt tốc độ cao trên trục Bắc - Nam qua địa bàn phường Đông Tiến, tỉnh Thanh Hoá)</t>
  </si>
  <si>
    <t xml:space="preserve">Ngày khởi công:</t>
  </si>
  <si>
    <t xml:space="preserve">Tiến độ (ngày):</t>
  </si>
  <si>
    <t xml:space="preserve">Số ngày/đợt:</t>
  </si>
  <si>
    <t xml:space="preserve">Ngày hoàn thành:</t>
  </si>
  <si>
    <t xml:space="preserve">Đơn vị: tỷ đồng</t>
  </si>
  <si>
    <t xml:space="preserve">TT</t>
  </si>
  <si>
    <t xml:space="preserve">Hạng mục</t>
  </si>
  <si>
    <t xml:space="preserve">Đơn vị</t>
  </si>
  <si>
    <t xml:space="preserve">Giá trị</t>
  </si>
  <si>
    <t xml:space="preserve">Từ đợt</t>
  </si>
  <si>
    <t xml:space="preserve">Đến đợt</t>
  </si>
  <si>
    <t xml:space="preserve">Kiểm tra (Σđợt − Giá trị)</t>
  </si>
  <si>
    <t xml:space="preserve">Tháng thứ 1 (12/08–10/09)</t>
  </si>
  <si>
    <t xml:space="preserve">Tháng thứ 2 (11/09–10/10)</t>
  </si>
  <si>
    <t xml:space="preserve">Tháng thứ 3 (11/10–09/11)</t>
  </si>
  <si>
    <t xml:space="preserve">Tháng thứ 4 (10/11–09/12)</t>
  </si>
  <si>
    <t xml:space="preserve">Tháng thứ 5 (10/12–08/01)</t>
  </si>
  <si>
    <t xml:space="preserve">Tháng thứ 6 (09/01–07/02)</t>
  </si>
  <si>
    <t xml:space="preserve">Tháng thứ 7 (08/02–09/03)</t>
  </si>
  <si>
    <t xml:space="preserve">1</t>
  </si>
  <si>
    <t xml:space="preserve">Đường giao thông</t>
  </si>
  <si>
    <t xml:space="preserve">Tỷ</t>
  </si>
  <si>
    <t xml:space="preserve">- Nền đường</t>
  </si>
  <si>
    <t xml:space="preserve">- Mặt đường</t>
  </si>
  <si>
    <t xml:space="preserve">2</t>
  </si>
  <si>
    <t xml:space="preserve">Bó vỉa, lát hè, cây xanh</t>
  </si>
  <si>
    <t xml:space="preserve">3</t>
  </si>
  <si>
    <t xml:space="preserve">Thoát nước mặt đường</t>
  </si>
  <si>
    <t xml:space="preserve">4</t>
  </si>
  <si>
    <t xml:space="preserve">Thoát nước thải</t>
  </si>
  <si>
    <t xml:space="preserve">5</t>
  </si>
  <si>
    <t xml:space="preserve">Cấp nước</t>
  </si>
  <si>
    <t xml:space="preserve">6</t>
  </si>
  <si>
    <t xml:space="preserve">Đường dây trung thế về trạm biến áp và lắp đặt, xây dựng trạm biến áp</t>
  </si>
  <si>
    <t xml:space="preserve">7</t>
  </si>
  <si>
    <t xml:space="preserve">Lắp đặt và xây dựng đường cáp ngầm 0,4KV cấp điện SH</t>
  </si>
  <si>
    <t xml:space="preserve">8</t>
  </si>
  <si>
    <t xml:space="preserve">Xây lắp HT chiếu sáng, TN</t>
  </si>
  <si>
    <t xml:space="preserve">9</t>
  </si>
  <si>
    <t xml:space="preserve">HT PCCC, HTKT</t>
  </si>
  <si>
    <t xml:space="preserve">10</t>
  </si>
  <si>
    <t xml:space="preserve">Trạm xử lý nước thải, bể nhà bơm</t>
  </si>
  <si>
    <t xml:space="preserve">11</t>
  </si>
  <si>
    <t xml:space="preserve">Chi phí thiết bị HT điện</t>
  </si>
  <si>
    <t xml:space="preserve">12</t>
  </si>
  <si>
    <t xml:space="preserve">Chi phí thiết bị PCCC</t>
  </si>
  <si>
    <t xml:space="preserve">13</t>
  </si>
  <si>
    <t xml:space="preserve">Chi phí thiết bị HT xử lý nước thải</t>
  </si>
  <si>
    <t xml:space="preserve">14</t>
  </si>
  <si>
    <t xml:space="preserve">Chi phí khác</t>
  </si>
  <si>
    <t xml:space="preserve">TỔNG GIÁ TRỊ THANH TOÁN TRONG ĐỢT</t>
  </si>
  <si>
    <t xml:space="preserve">GIÁ TRỊ THANH TOÁN LŨY KẾ</t>
  </si>
  <si>
    <t xml:space="preserve">TỶ LỆ THANH TOÁN TRONG ĐỢT</t>
  </si>
  <si>
    <t xml:space="preserve">TỶ LỆ THANH TOÁN LŨY KẾ</t>
  </si>
  <si>
    <t xml:space="preserve">Ghi chú:</t>
  </si>
  <si>
    <t xml:space="preserve">- Giá trị các hạng mục lấy từ Phụ lục 01 (Bảng tổng hợp KL, đơn giá, giá trị HĐ số 08/2026/HĐ-TCXD); tổng = 76.069 tỷ đồng (đã làm tròn 76.068.597.000 đ). Rê chuột vào ô Giá trị để xem nguồn chi tiết.</t>
  </si>
  <si>
    <t xml:space="preserve">- Giá trị mỗi đợt = Giá trị hạng mục / số đợt thi công hạng mục (phân bổ đều từ "Từ đợt" đến "Đến đợt"). Sửa cột Từ đợt/Đến đợt (chữ xanh) để điều chỉnh tiến độ, bảng tự tính lại.</t>
  </si>
  <si>
    <t xml:space="preserve">- Ô nền vàng là thông số đầu vào: ngày khởi công, tiến độ, số ngày/đợt. Mỗi tháng tính 30 ngày = 3 đợt; 210 ngày = 21 đợt.</t>
  </si>
  <si>
    <t xml:space="preserve">- Hạng mục 6 gộp mục 6,7,8,9; hạng mục 7 gộp mục 10,11; hạng mục 8 gộp mục 12,13,14 (thí nghiệm); hạng mục 9 gộp mục 15,16; Chi phí khác tách từ mục 20.9 của thiết bị XLNT.</t>
  </si>
  <si>
    <t xml:space="preserve">BẢNG PHÂN KHAI THANH TOÁN THEO ĐỢT (10 NGÀY/ĐỢT)</t>
  </si>
  <si>
    <t xml:space="preserve">Đợt</t>
  </si>
  <si>
    <t xml:space="preserve">Từ ngày</t>
  </si>
  <si>
    <t xml:space="preserve">Đến ngày</t>
  </si>
  <si>
    <t xml:space="preserve">Giá trị thanh toán đợt (tỷ đồng)</t>
  </si>
  <si>
    <t xml:space="preserve">Giá trị thanh toán đợt (đồng)</t>
  </si>
  <si>
    <t xml:space="preserve">Lũy kế (đồng)</t>
  </si>
  <si>
    <t xml:space="preserve">Tỷ lệ đợt</t>
  </si>
  <si>
    <t xml:space="preserve">Tỷ lệ lũy kế</t>
  </si>
  <si>
    <t xml:space="preserve">TỔNG CỘNG</t>
  </si>
  <si>
    <t xml:space="preserve">Ghi chú: giá trị (đồng) làm tròn đến đồng; chênh lệch làm tròn so với giá trị HĐ 76.068.597.000 đ điều chỉnh vào đợt cuối khi quyết toán.</t>
  </si>
</sst>
</file>

<file path=xl/styles.xml><?xml version="1.0" encoding="utf-8"?>
<styleSheet xmlns="http://schemas.openxmlformats.org/spreadsheetml/2006/main">
  <numFmts count="10">
    <numFmt numFmtId="164" formatCode="General"/>
    <numFmt numFmtId="165" formatCode="dd/mm/yyyy"/>
    <numFmt numFmtId="166" formatCode="&quot;Đợt &quot;0"/>
    <numFmt numFmtId="167" formatCode="dd/mm/yy"/>
    <numFmt numFmtId="168" formatCode="#,##0.00"/>
    <numFmt numFmtId="169" formatCode="0.00;\-0.00;&quot;OK&quot;"/>
    <numFmt numFmtId="170" formatCode="0.0%"/>
    <numFmt numFmtId="171" formatCode="#,##0.000"/>
    <numFmt numFmtId="172" formatCode="#,##0"/>
    <numFmt numFmtId="173" formatCode="0.00%"/>
  </numFmts>
  <fonts count="15">
    <font>
      <sz val="11"/>
      <color theme="1"/>
      <name val="Calibri"/>
      <family val="2"/>
      <charset val="1"/>
    </font>
    <font>
      <sz val="10"/>
      <name val="Arial"/>
      <family val="0"/>
    </font>
    <font>
      <sz val="10"/>
      <name val="Arial"/>
      <family val="0"/>
    </font>
    <font>
      <sz val="10"/>
      <name val="Arial"/>
      <family val="0"/>
    </font>
    <font>
      <b val="true"/>
      <sz val="14"/>
      <color rgb="FF000000"/>
      <name val="Times New Roman"/>
      <family val="0"/>
      <charset val="1"/>
    </font>
    <font>
      <b val="true"/>
      <sz val="11"/>
      <color rgb="FF000000"/>
      <name val="Times New Roman"/>
      <family val="0"/>
      <charset val="1"/>
    </font>
    <font>
      <b val="true"/>
      <sz val="11"/>
      <color rgb="FF0000FF"/>
      <name val="Times New Roman"/>
      <family val="0"/>
      <charset val="1"/>
    </font>
    <font>
      <i val="true"/>
      <sz val="11"/>
      <color rgb="FF000000"/>
      <name val="Times New Roman"/>
      <family val="0"/>
      <charset val="1"/>
    </font>
    <font>
      <b val="true"/>
      <sz val="9"/>
      <color rgb="FF000000"/>
      <name val="Times New Roman"/>
      <family val="0"/>
      <charset val="1"/>
    </font>
    <font>
      <b val="true"/>
      <sz val="10"/>
      <color rgb="FF000000"/>
      <name val="Times New Roman"/>
      <family val="0"/>
      <charset val="1"/>
    </font>
    <font>
      <sz val="9"/>
      <color rgb="FF000000"/>
      <name val="Times New Roman"/>
      <family val="0"/>
      <charset val="1"/>
    </font>
    <font>
      <sz val="11"/>
      <color rgb="FF000000"/>
      <name val="Times New Roman"/>
      <family val="0"/>
      <charset val="1"/>
    </font>
    <font>
      <sz val="11"/>
      <color rgb="FF0000FF"/>
      <name val="Times New Roman"/>
      <family val="0"/>
      <charset val="1"/>
    </font>
    <font>
      <i val="true"/>
      <sz val="10"/>
      <color rgb="FF000000"/>
      <name val="Times New Roman"/>
      <family val="0"/>
      <charset val="1"/>
    </font>
    <font>
      <sz val="10"/>
      <name val="Arial"/>
      <family val="2"/>
    </font>
  </fonts>
  <fills count="5">
    <fill>
      <patternFill patternType="none"/>
    </fill>
    <fill>
      <patternFill patternType="gray125"/>
    </fill>
    <fill>
      <patternFill patternType="solid">
        <fgColor rgb="FFFFFF00"/>
        <bgColor rgb="FFFFFF00"/>
      </patternFill>
    </fill>
    <fill>
      <patternFill patternType="solid">
        <fgColor rgb="FFD9E1F2"/>
        <bgColor rgb="FFCCFFFF"/>
      </patternFill>
    </fill>
    <fill>
      <patternFill patternType="solid">
        <fgColor rgb="FFFFF2CC"/>
        <bgColor rgb="FFFFFF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5" fontId="6" fillId="2"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right"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5" fontId="5" fillId="0"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6" fontId="9" fillId="3" borderId="1" xfId="0" applyFont="true" applyBorder="true" applyAlignment="true" applyProtection="false">
      <alignment horizontal="center" vertical="center" textRotation="0" wrapText="true" indent="0" shrinkToFit="false"/>
      <protection locked="true" hidden="false"/>
    </xf>
    <xf numFmtId="167" fontId="10" fillId="3"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8" fontId="5" fillId="0" borderId="1" xfId="0" applyFont="true" applyBorder="true" applyAlignment="true" applyProtection="false">
      <alignment horizontal="right" vertical="center" textRotation="0" wrapText="false" indent="0" shrinkToFit="false"/>
      <protection locked="true" hidden="false"/>
    </xf>
    <xf numFmtId="168" fontId="8" fillId="0" borderId="1" xfId="0" applyFont="true" applyBorder="true" applyAlignment="true" applyProtection="false">
      <alignment horizontal="right" vertical="center" textRotation="0" wrapText="false" indent="0" shrinkToFit="false"/>
      <protection locked="true" hidden="false"/>
    </xf>
    <xf numFmtId="169" fontId="10" fillId="0" borderId="1" xfId="0" applyFont="true" applyBorder="true" applyAlignment="true" applyProtection="false">
      <alignment horizontal="right"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8" fontId="12" fillId="0" borderId="1" xfId="0" applyFont="true" applyBorder="true" applyAlignment="true" applyProtection="false">
      <alignment horizontal="right" vertical="center" textRotation="0" wrapText="fals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8" fontId="10" fillId="0" borderId="1" xfId="0" applyFont="true" applyBorder="true" applyAlignment="true" applyProtection="false">
      <alignment horizontal="right" vertical="center" textRotation="0" wrapText="false" indent="0" shrinkToFit="false"/>
      <protection locked="true" hidden="false"/>
    </xf>
    <xf numFmtId="168" fontId="6" fillId="0" borderId="1" xfId="0" applyFont="true" applyBorder="true" applyAlignment="true" applyProtection="false">
      <alignment horizontal="right" vertical="center" textRotation="0" wrapText="false" indent="0" shrinkToFit="false"/>
      <protection locked="true" hidden="false"/>
    </xf>
    <xf numFmtId="164" fontId="5" fillId="4" borderId="1" xfId="0" applyFont="true" applyBorder="true" applyAlignment="true" applyProtection="false">
      <alignment horizontal="left" vertical="center" textRotation="0" wrapText="true" indent="0" shrinkToFit="false"/>
      <protection locked="true" hidden="false"/>
    </xf>
    <xf numFmtId="168" fontId="5" fillId="4" borderId="1" xfId="0" applyFont="true" applyBorder="true" applyAlignment="true" applyProtection="false">
      <alignment horizontal="right" vertical="center" textRotation="0" wrapText="fals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8" fontId="8" fillId="4" borderId="1" xfId="0" applyFont="true" applyBorder="true" applyAlignment="true" applyProtection="false">
      <alignment horizontal="right" vertical="center" textRotation="0" wrapText="false" indent="0" shrinkToFit="false"/>
      <protection locked="true" hidden="false"/>
    </xf>
    <xf numFmtId="169" fontId="10" fillId="4" borderId="1" xfId="0" applyFont="true" applyBorder="true" applyAlignment="true" applyProtection="false">
      <alignment horizontal="right" vertical="center" textRotation="0" wrapText="false" indent="0" shrinkToFit="false"/>
      <protection locked="true" hidden="false"/>
    </xf>
    <xf numFmtId="170" fontId="5" fillId="4" borderId="1" xfId="0" applyFont="true" applyBorder="true" applyAlignment="true" applyProtection="false">
      <alignment horizontal="right" vertical="center" textRotation="0" wrapText="false" indent="0" shrinkToFit="false"/>
      <protection locked="true" hidden="false"/>
    </xf>
    <xf numFmtId="170" fontId="8" fillId="4" borderId="1" xfId="0" applyFont="true" applyBorder="true" applyAlignment="true" applyProtection="false">
      <alignment horizontal="right" vertical="center" textRotation="0" wrapText="fals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64" fontId="13" fillId="0" borderId="0" xfId="0" applyFont="true" applyBorder="true" applyAlignment="true" applyProtection="false">
      <alignment horizontal="left" vertical="center" textRotation="0" wrapText="true" indent="0" shrinkToFit="false"/>
      <protection locked="true" hidden="false"/>
    </xf>
    <xf numFmtId="164" fontId="7" fillId="0" borderId="0" xfId="0" applyFont="true" applyBorder="true" applyAlignment="true" applyProtection="false">
      <alignment horizontal="center" vertical="center" textRotation="0" wrapText="true" indent="0" shrinkToFit="false"/>
      <protection locked="true" hidden="false"/>
    </xf>
    <xf numFmtId="166" fontId="11" fillId="0" borderId="1" xfId="0" applyFont="true" applyBorder="true" applyAlignment="true" applyProtection="false">
      <alignment horizontal="center" vertical="center" textRotation="0" wrapText="true" indent="0" shrinkToFit="false"/>
      <protection locked="true" hidden="false"/>
    </xf>
    <xf numFmtId="165" fontId="11" fillId="0" borderId="1" xfId="0" applyFont="true" applyBorder="true" applyAlignment="true" applyProtection="false">
      <alignment horizontal="center" vertical="center" textRotation="0" wrapText="true" indent="0" shrinkToFit="false"/>
      <protection locked="true" hidden="false"/>
    </xf>
    <xf numFmtId="171" fontId="11" fillId="0" borderId="1" xfId="0" applyFont="true" applyBorder="true" applyAlignment="true" applyProtection="false">
      <alignment horizontal="right" vertical="center" textRotation="0" wrapText="false" indent="0" shrinkToFit="false"/>
      <protection locked="true" hidden="false"/>
    </xf>
    <xf numFmtId="172" fontId="11" fillId="0" borderId="1" xfId="0" applyFont="true" applyBorder="true" applyAlignment="true" applyProtection="false">
      <alignment horizontal="right" vertical="center" textRotation="0" wrapText="false" indent="0" shrinkToFit="false"/>
      <protection locked="true" hidden="false"/>
    </xf>
    <xf numFmtId="173" fontId="11" fillId="0" borderId="1" xfId="0" applyFont="true" applyBorder="true" applyAlignment="true" applyProtection="false">
      <alignment horizontal="right" vertical="center" textRotation="0" wrapText="false" indent="0" shrinkToFit="false"/>
      <protection locked="true" hidden="false"/>
    </xf>
    <xf numFmtId="164" fontId="5" fillId="4" borderId="1" xfId="0" applyFont="true" applyBorder="true" applyAlignment="true" applyProtection="false">
      <alignment horizontal="center" vertical="center" textRotation="0" wrapText="true" indent="0" shrinkToFit="false"/>
      <protection locked="true" hidden="false"/>
    </xf>
    <xf numFmtId="171" fontId="5" fillId="4" borderId="1" xfId="0" applyFont="true" applyBorder="true" applyAlignment="true" applyProtection="false">
      <alignment horizontal="right" vertical="center" textRotation="0" wrapText="false" indent="0" shrinkToFit="false"/>
      <protection locked="true" hidden="false"/>
    </xf>
    <xf numFmtId="172" fontId="5" fillId="4" borderId="1" xfId="0" applyFont="true" applyBorder="true" applyAlignment="true" applyProtection="false">
      <alignment horizontal="right" vertical="center" textRotation="0" wrapText="false" indent="0" shrinkToFit="false"/>
      <protection locked="true" hidden="false"/>
    </xf>
    <xf numFmtId="164" fontId="5" fillId="4" borderId="1" xfId="0" applyFont="true" applyBorder="true" applyAlignment="true" applyProtection="false">
      <alignment horizontal="right" vertical="center" textRotation="0" wrapText="false" indent="0" shrinkToFit="false"/>
      <protection locked="true" hidden="false"/>
    </xf>
    <xf numFmtId="173" fontId="5" fillId="4" borderId="1" xfId="0" applyFont="true" applyBorder="true" applyAlignment="true" applyProtection="false">
      <alignment horizontal="right"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B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6" ySplit="10" topLeftCell="G11" activePane="bottomRight" state="frozen"/>
      <selection pane="topLeft" activeCell="A1" activeCellId="0" sqref="A1"/>
      <selection pane="topRight" activeCell="G1" activeCellId="0" sqref="G1"/>
      <selection pane="bottomLeft" activeCell="A11" activeCellId="0" sqref="A11"/>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4"/>
    <col collapsed="false" customWidth="true" hidden="false" outlineLevel="0" max="3" min="3" style="0" width="6"/>
    <col collapsed="false" customWidth="true" hidden="false" outlineLevel="0" max="4" min="4" style="0" width="9"/>
    <col collapsed="false" customWidth="true" hidden="false" outlineLevel="0" max="6" min="5" style="0" width="6"/>
    <col collapsed="false" customWidth="true" hidden="false" outlineLevel="0" max="27" min="7" style="0" width="8.3"/>
    <col collapsed="false" customWidth="true" hidden="false" outlineLevel="0" max="28" min="28" style="0" width="9"/>
  </cols>
  <sheetData>
    <row r="1" customFormat="false" ht="17.35" hidden="false" customHeight="true" outlineLevel="0" collapsed="false">
      <c r="A1" s="1" t="s">
        <v>0</v>
      </c>
      <c r="B1" s="1"/>
      <c r="C1" s="1"/>
      <c r="D1" s="1"/>
      <c r="E1" s="1"/>
      <c r="F1" s="1"/>
      <c r="G1" s="1"/>
      <c r="H1" s="1"/>
      <c r="I1" s="1"/>
      <c r="J1" s="1"/>
      <c r="K1" s="1"/>
      <c r="L1" s="1"/>
      <c r="M1" s="1"/>
      <c r="N1" s="1"/>
      <c r="O1" s="1"/>
      <c r="P1" s="1"/>
      <c r="Q1" s="1"/>
      <c r="R1" s="1"/>
      <c r="S1" s="1"/>
      <c r="T1" s="1"/>
      <c r="U1" s="1"/>
      <c r="V1" s="1"/>
      <c r="W1" s="1"/>
      <c r="X1" s="1"/>
      <c r="Y1" s="1"/>
      <c r="Z1" s="1"/>
      <c r="AA1" s="1"/>
      <c r="AB1" s="1"/>
    </row>
    <row r="2" customFormat="false" ht="33"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c r="AB2" s="2"/>
    </row>
    <row r="4" customFormat="false" ht="15" hidden="false" customHeight="true" outlineLevel="0" collapsed="false">
      <c r="A4" s="3" t="s">
        <v>2</v>
      </c>
      <c r="B4" s="3"/>
      <c r="C4" s="3"/>
      <c r="D4" s="4" t="n">
        <v>46246</v>
      </c>
      <c r="E4" s="4"/>
      <c r="G4" s="5" t="s">
        <v>3</v>
      </c>
      <c r="H4" s="5"/>
      <c r="I4" s="5"/>
      <c r="J4" s="6" t="n">
        <v>210</v>
      </c>
      <c r="K4" s="5" t="s">
        <v>4</v>
      </c>
      <c r="L4" s="5"/>
      <c r="M4" s="5"/>
      <c r="N4" s="6" t="n">
        <v>10</v>
      </c>
      <c r="O4" s="5" t="s">
        <v>5</v>
      </c>
      <c r="P4" s="5"/>
      <c r="Q4" s="5"/>
      <c r="R4" s="7" t="n">
        <f aca="false">D4+J4-1</f>
        <v>46455</v>
      </c>
      <c r="S4" s="7"/>
      <c r="U4" s="8" t="s">
        <v>6</v>
      </c>
      <c r="V4" s="8"/>
      <c r="W4" s="8"/>
    </row>
    <row r="6" customFormat="false" ht="15" hidden="false" customHeight="true" outlineLevel="0" collapsed="false">
      <c r="A6" s="9" t="s">
        <v>7</v>
      </c>
      <c r="B6" s="9" t="s">
        <v>8</v>
      </c>
      <c r="C6" s="9" t="s">
        <v>9</v>
      </c>
      <c r="D6" s="9" t="s">
        <v>10</v>
      </c>
      <c r="E6" s="9" t="s">
        <v>11</v>
      </c>
      <c r="F6" s="9" t="s">
        <v>12</v>
      </c>
      <c r="G6" s="9" t="str">
        <f aca="false">"Thời gian thi công "&amp;J4&amp;" ngày"</f>
        <v>Thời gian thi công 210 ngày</v>
      </c>
      <c r="H6" s="9"/>
      <c r="I6" s="9"/>
      <c r="J6" s="9"/>
      <c r="K6" s="9"/>
      <c r="L6" s="9"/>
      <c r="M6" s="9"/>
      <c r="N6" s="9"/>
      <c r="O6" s="9"/>
      <c r="P6" s="9"/>
      <c r="Q6" s="9"/>
      <c r="R6" s="9"/>
      <c r="S6" s="9"/>
      <c r="T6" s="9"/>
      <c r="U6" s="9"/>
      <c r="V6" s="9"/>
      <c r="W6" s="9"/>
      <c r="X6" s="9"/>
      <c r="Y6" s="9"/>
      <c r="Z6" s="9"/>
      <c r="AA6" s="9"/>
      <c r="AB6" s="10" t="s">
        <v>13</v>
      </c>
    </row>
    <row r="7" customFormat="false" ht="27.75" hidden="false" customHeight="true" outlineLevel="0" collapsed="false">
      <c r="A7" s="9"/>
      <c r="B7" s="9"/>
      <c r="C7" s="9"/>
      <c r="D7" s="9"/>
      <c r="E7" s="9"/>
      <c r="F7" s="9"/>
      <c r="G7" s="11" t="s">
        <v>14</v>
      </c>
      <c r="H7" s="11"/>
      <c r="I7" s="11"/>
      <c r="J7" s="11" t="s">
        <v>15</v>
      </c>
      <c r="K7" s="11"/>
      <c r="L7" s="11"/>
      <c r="M7" s="11" t="s">
        <v>16</v>
      </c>
      <c r="N7" s="11"/>
      <c r="O7" s="11"/>
      <c r="P7" s="11" t="s">
        <v>17</v>
      </c>
      <c r="Q7" s="11"/>
      <c r="R7" s="11"/>
      <c r="S7" s="11" t="s">
        <v>18</v>
      </c>
      <c r="T7" s="11"/>
      <c r="U7" s="11"/>
      <c r="V7" s="11" t="s">
        <v>19</v>
      </c>
      <c r="W7" s="11"/>
      <c r="X7" s="11"/>
      <c r="Y7" s="11" t="s">
        <v>20</v>
      </c>
      <c r="Z7" s="11"/>
      <c r="AA7" s="11"/>
      <c r="AB7" s="10"/>
    </row>
    <row r="8" customFormat="false" ht="15" hidden="false" customHeight="false" outlineLevel="0" collapsed="false">
      <c r="A8" s="9"/>
      <c r="B8" s="9"/>
      <c r="C8" s="9"/>
      <c r="D8" s="9"/>
      <c r="E8" s="9"/>
      <c r="F8" s="9"/>
      <c r="G8" s="12" t="n">
        <v>1</v>
      </c>
      <c r="H8" s="12" t="n">
        <v>2</v>
      </c>
      <c r="I8" s="12" t="n">
        <v>3</v>
      </c>
      <c r="J8" s="12" t="n">
        <v>4</v>
      </c>
      <c r="K8" s="12" t="n">
        <v>5</v>
      </c>
      <c r="L8" s="12" t="n">
        <v>6</v>
      </c>
      <c r="M8" s="12" t="n">
        <v>7</v>
      </c>
      <c r="N8" s="12" t="n">
        <v>8</v>
      </c>
      <c r="O8" s="12" t="n">
        <v>9</v>
      </c>
      <c r="P8" s="12" t="n">
        <v>10</v>
      </c>
      <c r="Q8" s="12" t="n">
        <v>11</v>
      </c>
      <c r="R8" s="12" t="n">
        <v>12</v>
      </c>
      <c r="S8" s="12" t="n">
        <v>13</v>
      </c>
      <c r="T8" s="12" t="n">
        <v>14</v>
      </c>
      <c r="U8" s="12" t="n">
        <v>15</v>
      </c>
      <c r="V8" s="12" t="n">
        <v>16</v>
      </c>
      <c r="W8" s="12" t="n">
        <v>17</v>
      </c>
      <c r="X8" s="12" t="n">
        <v>18</v>
      </c>
      <c r="Y8" s="12" t="n">
        <v>19</v>
      </c>
      <c r="Z8" s="12" t="n">
        <v>20</v>
      </c>
      <c r="AA8" s="12" t="n">
        <v>21</v>
      </c>
      <c r="AB8" s="10"/>
    </row>
    <row r="9" customFormat="false" ht="15" hidden="false" customHeight="false" outlineLevel="0" collapsed="false">
      <c r="A9" s="9"/>
      <c r="B9" s="9"/>
      <c r="C9" s="9"/>
      <c r="D9" s="9"/>
      <c r="E9" s="9"/>
      <c r="F9" s="9"/>
      <c r="G9" s="13" t="n">
        <f aca="false">$D$4+(G$8-1)*$N$4</f>
        <v>46246</v>
      </c>
      <c r="H9" s="13" t="n">
        <f aca="false">$D$4+(H$8-1)*$N$4</f>
        <v>46256</v>
      </c>
      <c r="I9" s="13" t="n">
        <f aca="false">$D$4+(I$8-1)*$N$4</f>
        <v>46266</v>
      </c>
      <c r="J9" s="13" t="n">
        <f aca="false">$D$4+(J$8-1)*$N$4</f>
        <v>46276</v>
      </c>
      <c r="K9" s="13" t="n">
        <f aca="false">$D$4+(K$8-1)*$N$4</f>
        <v>46286</v>
      </c>
      <c r="L9" s="13" t="n">
        <f aca="false">$D$4+(L$8-1)*$N$4</f>
        <v>46296</v>
      </c>
      <c r="M9" s="13" t="n">
        <f aca="false">$D$4+(M$8-1)*$N$4</f>
        <v>46306</v>
      </c>
      <c r="N9" s="13" t="n">
        <f aca="false">$D$4+(N$8-1)*$N$4</f>
        <v>46316</v>
      </c>
      <c r="O9" s="13" t="n">
        <f aca="false">$D$4+(O$8-1)*$N$4</f>
        <v>46326</v>
      </c>
      <c r="P9" s="13" t="n">
        <f aca="false">$D$4+(P$8-1)*$N$4</f>
        <v>46336</v>
      </c>
      <c r="Q9" s="13" t="n">
        <f aca="false">$D$4+(Q$8-1)*$N$4</f>
        <v>46346</v>
      </c>
      <c r="R9" s="13" t="n">
        <f aca="false">$D$4+(R$8-1)*$N$4</f>
        <v>46356</v>
      </c>
      <c r="S9" s="13" t="n">
        <f aca="false">$D$4+(S$8-1)*$N$4</f>
        <v>46366</v>
      </c>
      <c r="T9" s="13" t="n">
        <f aca="false">$D$4+(T$8-1)*$N$4</f>
        <v>46376</v>
      </c>
      <c r="U9" s="13" t="n">
        <f aca="false">$D$4+(U$8-1)*$N$4</f>
        <v>46386</v>
      </c>
      <c r="V9" s="13" t="n">
        <f aca="false">$D$4+(V$8-1)*$N$4</f>
        <v>46396</v>
      </c>
      <c r="W9" s="13" t="n">
        <f aca="false">$D$4+(W$8-1)*$N$4</f>
        <v>46406</v>
      </c>
      <c r="X9" s="13" t="n">
        <f aca="false">$D$4+(X$8-1)*$N$4</f>
        <v>46416</v>
      </c>
      <c r="Y9" s="13" t="n">
        <f aca="false">$D$4+(Y$8-1)*$N$4</f>
        <v>46426</v>
      </c>
      <c r="Z9" s="13" t="n">
        <f aca="false">$D$4+(Z$8-1)*$N$4</f>
        <v>46436</v>
      </c>
      <c r="AA9" s="13" t="n">
        <f aca="false">$D$4+(AA$8-1)*$N$4</f>
        <v>46446</v>
      </c>
      <c r="AB9" s="10"/>
    </row>
    <row r="10" customFormat="false" ht="15" hidden="false" customHeight="false" outlineLevel="0" collapsed="false">
      <c r="A10" s="9"/>
      <c r="B10" s="9"/>
      <c r="C10" s="9"/>
      <c r="D10" s="9"/>
      <c r="E10" s="9"/>
      <c r="F10" s="9"/>
      <c r="G10" s="13" t="n">
        <f aca="false">MIN(G9+$N$4-1,$R$4)</f>
        <v>46255</v>
      </c>
      <c r="H10" s="13" t="n">
        <f aca="false">MIN(H9+$N$4-1,$R$4)</f>
        <v>46265</v>
      </c>
      <c r="I10" s="13" t="n">
        <f aca="false">MIN(I9+$N$4-1,$R$4)</f>
        <v>46275</v>
      </c>
      <c r="J10" s="13" t="n">
        <f aca="false">MIN(J9+$N$4-1,$R$4)</f>
        <v>46285</v>
      </c>
      <c r="K10" s="13" t="n">
        <f aca="false">MIN(K9+$N$4-1,$R$4)</f>
        <v>46295</v>
      </c>
      <c r="L10" s="13" t="n">
        <f aca="false">MIN(L9+$N$4-1,$R$4)</f>
        <v>46305</v>
      </c>
      <c r="M10" s="13" t="n">
        <f aca="false">MIN(M9+$N$4-1,$R$4)</f>
        <v>46315</v>
      </c>
      <c r="N10" s="13" t="n">
        <f aca="false">MIN(N9+$N$4-1,$R$4)</f>
        <v>46325</v>
      </c>
      <c r="O10" s="13" t="n">
        <f aca="false">MIN(O9+$N$4-1,$R$4)</f>
        <v>46335</v>
      </c>
      <c r="P10" s="13" t="n">
        <f aca="false">MIN(P9+$N$4-1,$R$4)</f>
        <v>46345</v>
      </c>
      <c r="Q10" s="13" t="n">
        <f aca="false">MIN(Q9+$N$4-1,$R$4)</f>
        <v>46355</v>
      </c>
      <c r="R10" s="13" t="n">
        <f aca="false">MIN(R9+$N$4-1,$R$4)</f>
        <v>46365</v>
      </c>
      <c r="S10" s="13" t="n">
        <f aca="false">MIN(S9+$N$4-1,$R$4)</f>
        <v>46375</v>
      </c>
      <c r="T10" s="13" t="n">
        <f aca="false">MIN(T9+$N$4-1,$R$4)</f>
        <v>46385</v>
      </c>
      <c r="U10" s="13" t="n">
        <f aca="false">MIN(U9+$N$4-1,$R$4)</f>
        <v>46395</v>
      </c>
      <c r="V10" s="13" t="n">
        <f aca="false">MIN(V9+$N$4-1,$R$4)</f>
        <v>46405</v>
      </c>
      <c r="W10" s="13" t="n">
        <f aca="false">MIN(W9+$N$4-1,$R$4)</f>
        <v>46415</v>
      </c>
      <c r="X10" s="13" t="n">
        <f aca="false">MIN(X9+$N$4-1,$R$4)</f>
        <v>46425</v>
      </c>
      <c r="Y10" s="13" t="n">
        <f aca="false">MIN(Y9+$N$4-1,$R$4)</f>
        <v>46435</v>
      </c>
      <c r="Z10" s="13" t="n">
        <f aca="false">MIN(Z9+$N$4-1,$R$4)</f>
        <v>46445</v>
      </c>
      <c r="AA10" s="13" t="n">
        <f aca="false">MIN(AA9+$N$4-1,$R$4)</f>
        <v>46455</v>
      </c>
      <c r="AB10" s="10"/>
    </row>
    <row r="11" customFormat="false" ht="19.5" hidden="false" customHeight="true" outlineLevel="0" collapsed="false">
      <c r="A11" s="14" t="s">
        <v>21</v>
      </c>
      <c r="B11" s="15" t="s">
        <v>22</v>
      </c>
      <c r="C11" s="14" t="s">
        <v>23</v>
      </c>
      <c r="D11" s="16" t="n">
        <f aca="false">SUM(D12:D13)</f>
        <v>27.3891949288199</v>
      </c>
      <c r="E11" s="14" t="n">
        <f aca="false">MIN(E12:E13)</f>
        <v>2</v>
      </c>
      <c r="F11" s="14" t="n">
        <f aca="false">MAX(F12:F13)</f>
        <v>19</v>
      </c>
      <c r="G11" s="17" t="str">
        <f aca="false">IF(SUM(G12:G13)=0,"",SUM(G12:G13))</f>
        <v/>
      </c>
      <c r="H11" s="17" t="n">
        <f aca="false">IF(SUM(H12:H13)=0,"",SUM(H12:H13))</f>
        <v>1.69979174362224</v>
      </c>
      <c r="I11" s="17" t="n">
        <f aca="false">IF(SUM(I12:I13)=0,"",SUM(I12:I13))</f>
        <v>1.69979174362224</v>
      </c>
      <c r="J11" s="17" t="n">
        <f aca="false">IF(SUM(J12:J13)=0,"",SUM(J12:J13))</f>
        <v>1.69979174362224</v>
      </c>
      <c r="K11" s="17" t="n">
        <f aca="false">IF(SUM(K12:K13)=0,"",SUM(K12:K13))</f>
        <v>1.69979174362224</v>
      </c>
      <c r="L11" s="17" t="n">
        <f aca="false">IF(SUM(L12:L13)=0,"",SUM(L12:L13))</f>
        <v>1.69979174362224</v>
      </c>
      <c r="M11" s="17" t="n">
        <f aca="false">IF(SUM(M12:M13)=0,"",SUM(M12:M13))</f>
        <v>1.69979174362224</v>
      </c>
      <c r="N11" s="17" t="n">
        <f aca="false">IF(SUM(N12:N13)=0,"",SUM(N12:N13))</f>
        <v>1.69979174362224</v>
      </c>
      <c r="O11" s="17" t="n">
        <f aca="false">IF(SUM(O12:O13)=0,"",SUM(O12:O13))</f>
        <v>1.69979174362224</v>
      </c>
      <c r="P11" s="17" t="n">
        <f aca="false">IF(SUM(P12:P13)=0,"",SUM(P12:P13))</f>
        <v>1.69979174362224</v>
      </c>
      <c r="Q11" s="17" t="n">
        <f aca="false">IF(SUM(Q12:Q13)=0,"",SUM(Q12:Q13))</f>
        <v>2.47664663310591</v>
      </c>
      <c r="R11" s="17" t="n">
        <f aca="false">IF(SUM(R12:R13)=0,"",SUM(R12:R13))</f>
        <v>2.47664663310591</v>
      </c>
      <c r="S11" s="17" t="n">
        <f aca="false">IF(SUM(S12:S13)=0,"",SUM(S12:S13))</f>
        <v>2.47664663310591</v>
      </c>
      <c r="T11" s="17" t="n">
        <f aca="false">IF(SUM(T12:T13)=0,"",SUM(T12:T13))</f>
        <v>0.77685488948367</v>
      </c>
      <c r="U11" s="17" t="n">
        <f aca="false">IF(SUM(U12:U13)=0,"",SUM(U12:U13))</f>
        <v>0.77685488948367</v>
      </c>
      <c r="V11" s="17" t="n">
        <f aca="false">IF(SUM(V12:V13)=0,"",SUM(V12:V13))</f>
        <v>0.77685488948367</v>
      </c>
      <c r="W11" s="17" t="n">
        <f aca="false">IF(SUM(W12:W13)=0,"",SUM(W12:W13))</f>
        <v>0.77685488948367</v>
      </c>
      <c r="X11" s="17" t="n">
        <f aca="false">IF(SUM(X12:X13)=0,"",SUM(X12:X13))</f>
        <v>0.77685488948367</v>
      </c>
      <c r="Y11" s="17" t="n">
        <f aca="false">IF(SUM(Y12:Y13)=0,"",SUM(Y12:Y13))</f>
        <v>0.77685488948367</v>
      </c>
      <c r="Z11" s="17" t="str">
        <f aca="false">IF(SUM(Z12:Z13)=0,"",SUM(Z12:Z13))</f>
        <v/>
      </c>
      <c r="AA11" s="17" t="str">
        <f aca="false">IF(SUM(AA12:AA13)=0,"",SUM(AA12:AA13))</f>
        <v/>
      </c>
      <c r="AB11" s="18" t="n">
        <f aca="false">ROUND(SUM(G11:AA11)-D11,6)</f>
        <v>0</v>
      </c>
    </row>
    <row r="12" customFormat="false" ht="19.5" hidden="false" customHeight="true" outlineLevel="0" collapsed="false">
      <c r="A12" s="19"/>
      <c r="B12" s="20" t="s">
        <v>24</v>
      </c>
      <c r="C12" s="19" t="s">
        <v>23</v>
      </c>
      <c r="D12" s="21" t="n">
        <v>20.3975009234669</v>
      </c>
      <c r="E12" s="22" t="n">
        <v>2</v>
      </c>
      <c r="F12" s="22" t="n">
        <v>13</v>
      </c>
      <c r="G12" s="23" t="str">
        <f aca="false">IF(AND(G$8&gt;=$E12,G$8&lt;=$F12),$D12/($F12-$E12+1),"")</f>
        <v/>
      </c>
      <c r="H12" s="23" t="n">
        <f aca="false">IF(AND(H$8&gt;=$E12,H$8&lt;=$F12),$D12/($F12-$E12+1),"")</f>
        <v>1.69979174362224</v>
      </c>
      <c r="I12" s="23" t="n">
        <f aca="false">IF(AND(I$8&gt;=$E12,I$8&lt;=$F12),$D12/($F12-$E12+1),"")</f>
        <v>1.69979174362224</v>
      </c>
      <c r="J12" s="23" t="n">
        <f aca="false">IF(AND(J$8&gt;=$E12,J$8&lt;=$F12),$D12/($F12-$E12+1),"")</f>
        <v>1.69979174362224</v>
      </c>
      <c r="K12" s="23" t="n">
        <f aca="false">IF(AND(K$8&gt;=$E12,K$8&lt;=$F12),$D12/($F12-$E12+1),"")</f>
        <v>1.69979174362224</v>
      </c>
      <c r="L12" s="23" t="n">
        <f aca="false">IF(AND(L$8&gt;=$E12,L$8&lt;=$F12),$D12/($F12-$E12+1),"")</f>
        <v>1.69979174362224</v>
      </c>
      <c r="M12" s="23" t="n">
        <f aca="false">IF(AND(M$8&gt;=$E12,M$8&lt;=$F12),$D12/($F12-$E12+1),"")</f>
        <v>1.69979174362224</v>
      </c>
      <c r="N12" s="23" t="n">
        <f aca="false">IF(AND(N$8&gt;=$E12,N$8&lt;=$F12),$D12/($F12-$E12+1),"")</f>
        <v>1.69979174362224</v>
      </c>
      <c r="O12" s="23" t="n">
        <f aca="false">IF(AND(O$8&gt;=$E12,O$8&lt;=$F12),$D12/($F12-$E12+1),"")</f>
        <v>1.69979174362224</v>
      </c>
      <c r="P12" s="23" t="n">
        <f aca="false">IF(AND(P$8&gt;=$E12,P$8&lt;=$F12),$D12/($F12-$E12+1),"")</f>
        <v>1.69979174362224</v>
      </c>
      <c r="Q12" s="23" t="n">
        <f aca="false">IF(AND(Q$8&gt;=$E12,Q$8&lt;=$F12),$D12/($F12-$E12+1),"")</f>
        <v>1.69979174362224</v>
      </c>
      <c r="R12" s="23" t="n">
        <f aca="false">IF(AND(R$8&gt;=$E12,R$8&lt;=$F12),$D12/($F12-$E12+1),"")</f>
        <v>1.69979174362224</v>
      </c>
      <c r="S12" s="23" t="n">
        <f aca="false">IF(AND(S$8&gt;=$E12,S$8&lt;=$F12),$D12/($F12-$E12+1),"")</f>
        <v>1.69979174362224</v>
      </c>
      <c r="T12" s="23" t="str">
        <f aca="false">IF(AND(T$8&gt;=$E12,T$8&lt;=$F12),$D12/($F12-$E12+1),"")</f>
        <v/>
      </c>
      <c r="U12" s="23" t="str">
        <f aca="false">IF(AND(U$8&gt;=$E12,U$8&lt;=$F12),$D12/($F12-$E12+1),"")</f>
        <v/>
      </c>
      <c r="V12" s="23" t="str">
        <f aca="false">IF(AND(V$8&gt;=$E12,V$8&lt;=$F12),$D12/($F12-$E12+1),"")</f>
        <v/>
      </c>
      <c r="W12" s="23" t="str">
        <f aca="false">IF(AND(W$8&gt;=$E12,W$8&lt;=$F12),$D12/($F12-$E12+1),"")</f>
        <v/>
      </c>
      <c r="X12" s="23" t="str">
        <f aca="false">IF(AND(X$8&gt;=$E12,X$8&lt;=$F12),$D12/($F12-$E12+1),"")</f>
        <v/>
      </c>
      <c r="Y12" s="23" t="str">
        <f aca="false">IF(AND(Y$8&gt;=$E12,Y$8&lt;=$F12),$D12/($F12-$E12+1),"")</f>
        <v/>
      </c>
      <c r="Z12" s="23" t="str">
        <f aca="false">IF(AND(Z$8&gt;=$E12,Z$8&lt;=$F12),$D12/($F12-$E12+1),"")</f>
        <v/>
      </c>
      <c r="AA12" s="23" t="str">
        <f aca="false">IF(AND(AA$8&gt;=$E12,AA$8&lt;=$F12),$D12/($F12-$E12+1),"")</f>
        <v/>
      </c>
      <c r="AB12" s="18" t="n">
        <f aca="false">ROUND(SUM(G12:AA12)-D12,6)</f>
        <v>0</v>
      </c>
    </row>
    <row r="13" customFormat="false" ht="19.5" hidden="false" customHeight="true" outlineLevel="0" collapsed="false">
      <c r="A13" s="19"/>
      <c r="B13" s="20" t="s">
        <v>25</v>
      </c>
      <c r="C13" s="19" t="s">
        <v>23</v>
      </c>
      <c r="D13" s="21" t="n">
        <v>6.99169400535303</v>
      </c>
      <c r="E13" s="22" t="n">
        <v>11</v>
      </c>
      <c r="F13" s="22" t="n">
        <v>19</v>
      </c>
      <c r="G13" s="23" t="str">
        <f aca="false">IF(AND(G$8&gt;=$E13,G$8&lt;=$F13),$D13/($F13-$E13+1),"")</f>
        <v/>
      </c>
      <c r="H13" s="23" t="str">
        <f aca="false">IF(AND(H$8&gt;=$E13,H$8&lt;=$F13),$D13/($F13-$E13+1),"")</f>
        <v/>
      </c>
      <c r="I13" s="23" t="str">
        <f aca="false">IF(AND(I$8&gt;=$E13,I$8&lt;=$F13),$D13/($F13-$E13+1),"")</f>
        <v/>
      </c>
      <c r="J13" s="23" t="str">
        <f aca="false">IF(AND(J$8&gt;=$E13,J$8&lt;=$F13),$D13/($F13-$E13+1),"")</f>
        <v/>
      </c>
      <c r="K13" s="23" t="str">
        <f aca="false">IF(AND(K$8&gt;=$E13,K$8&lt;=$F13),$D13/($F13-$E13+1),"")</f>
        <v/>
      </c>
      <c r="L13" s="23" t="str">
        <f aca="false">IF(AND(L$8&gt;=$E13,L$8&lt;=$F13),$D13/($F13-$E13+1),"")</f>
        <v/>
      </c>
      <c r="M13" s="23" t="str">
        <f aca="false">IF(AND(M$8&gt;=$E13,M$8&lt;=$F13),$D13/($F13-$E13+1),"")</f>
        <v/>
      </c>
      <c r="N13" s="23" t="str">
        <f aca="false">IF(AND(N$8&gt;=$E13,N$8&lt;=$F13),$D13/($F13-$E13+1),"")</f>
        <v/>
      </c>
      <c r="O13" s="23" t="str">
        <f aca="false">IF(AND(O$8&gt;=$E13,O$8&lt;=$F13),$D13/($F13-$E13+1),"")</f>
        <v/>
      </c>
      <c r="P13" s="23" t="str">
        <f aca="false">IF(AND(P$8&gt;=$E13,P$8&lt;=$F13),$D13/($F13-$E13+1),"")</f>
        <v/>
      </c>
      <c r="Q13" s="23" t="n">
        <f aca="false">IF(AND(Q$8&gt;=$E13,Q$8&lt;=$F13),$D13/($F13-$E13+1),"")</f>
        <v>0.77685488948367</v>
      </c>
      <c r="R13" s="23" t="n">
        <f aca="false">IF(AND(R$8&gt;=$E13,R$8&lt;=$F13),$D13/($F13-$E13+1),"")</f>
        <v>0.77685488948367</v>
      </c>
      <c r="S13" s="23" t="n">
        <f aca="false">IF(AND(S$8&gt;=$E13,S$8&lt;=$F13),$D13/($F13-$E13+1),"")</f>
        <v>0.77685488948367</v>
      </c>
      <c r="T13" s="23" t="n">
        <f aca="false">IF(AND(T$8&gt;=$E13,T$8&lt;=$F13),$D13/($F13-$E13+1),"")</f>
        <v>0.77685488948367</v>
      </c>
      <c r="U13" s="23" t="n">
        <f aca="false">IF(AND(U$8&gt;=$E13,U$8&lt;=$F13),$D13/($F13-$E13+1),"")</f>
        <v>0.77685488948367</v>
      </c>
      <c r="V13" s="23" t="n">
        <f aca="false">IF(AND(V$8&gt;=$E13,V$8&lt;=$F13),$D13/($F13-$E13+1),"")</f>
        <v>0.77685488948367</v>
      </c>
      <c r="W13" s="23" t="n">
        <f aca="false">IF(AND(W$8&gt;=$E13,W$8&lt;=$F13),$D13/($F13-$E13+1),"")</f>
        <v>0.77685488948367</v>
      </c>
      <c r="X13" s="23" t="n">
        <f aca="false">IF(AND(X$8&gt;=$E13,X$8&lt;=$F13),$D13/($F13-$E13+1),"")</f>
        <v>0.77685488948367</v>
      </c>
      <c r="Y13" s="23" t="n">
        <f aca="false">IF(AND(Y$8&gt;=$E13,Y$8&lt;=$F13),$D13/($F13-$E13+1),"")</f>
        <v>0.77685488948367</v>
      </c>
      <c r="Z13" s="23" t="str">
        <f aca="false">IF(AND(Z$8&gt;=$E13,Z$8&lt;=$F13),$D13/($F13-$E13+1),"")</f>
        <v/>
      </c>
      <c r="AA13" s="23" t="str">
        <f aca="false">IF(AND(AA$8&gt;=$E13,AA$8&lt;=$F13),$D13/($F13-$E13+1),"")</f>
        <v/>
      </c>
      <c r="AB13" s="18" t="n">
        <f aca="false">ROUND(SUM(G13:AA13)-D13,6)</f>
        <v>0</v>
      </c>
    </row>
    <row r="14" customFormat="false" ht="19.5" hidden="false" customHeight="true" outlineLevel="0" collapsed="false">
      <c r="A14" s="14" t="s">
        <v>26</v>
      </c>
      <c r="B14" s="15" t="s">
        <v>27</v>
      </c>
      <c r="C14" s="14" t="s">
        <v>23</v>
      </c>
      <c r="D14" s="24" t="n">
        <v>12.5083077633627</v>
      </c>
      <c r="E14" s="22" t="n">
        <v>11</v>
      </c>
      <c r="F14" s="22" t="n">
        <v>21</v>
      </c>
      <c r="G14" s="23" t="str">
        <f aca="false">IF(AND(G$8&gt;=$E14,G$8&lt;=$F14),$D14/($F14-$E14+1),"")</f>
        <v/>
      </c>
      <c r="H14" s="23" t="str">
        <f aca="false">IF(AND(H$8&gt;=$E14,H$8&lt;=$F14),$D14/($F14-$E14+1),"")</f>
        <v/>
      </c>
      <c r="I14" s="23" t="str">
        <f aca="false">IF(AND(I$8&gt;=$E14,I$8&lt;=$F14),$D14/($F14-$E14+1),"")</f>
        <v/>
      </c>
      <c r="J14" s="23" t="str">
        <f aca="false">IF(AND(J$8&gt;=$E14,J$8&lt;=$F14),$D14/($F14-$E14+1),"")</f>
        <v/>
      </c>
      <c r="K14" s="23" t="str">
        <f aca="false">IF(AND(K$8&gt;=$E14,K$8&lt;=$F14),$D14/($F14-$E14+1),"")</f>
        <v/>
      </c>
      <c r="L14" s="23" t="str">
        <f aca="false">IF(AND(L$8&gt;=$E14,L$8&lt;=$F14),$D14/($F14-$E14+1),"")</f>
        <v/>
      </c>
      <c r="M14" s="23" t="str">
        <f aca="false">IF(AND(M$8&gt;=$E14,M$8&lt;=$F14),$D14/($F14-$E14+1),"")</f>
        <v/>
      </c>
      <c r="N14" s="23" t="str">
        <f aca="false">IF(AND(N$8&gt;=$E14,N$8&lt;=$F14),$D14/($F14-$E14+1),"")</f>
        <v/>
      </c>
      <c r="O14" s="23" t="str">
        <f aca="false">IF(AND(O$8&gt;=$E14,O$8&lt;=$F14),$D14/($F14-$E14+1),"")</f>
        <v/>
      </c>
      <c r="P14" s="23" t="str">
        <f aca="false">IF(AND(P$8&gt;=$E14,P$8&lt;=$F14),$D14/($F14-$E14+1),"")</f>
        <v/>
      </c>
      <c r="Q14" s="23" t="n">
        <f aca="false">IF(AND(Q$8&gt;=$E14,Q$8&lt;=$F14),$D14/($F14-$E14+1),"")</f>
        <v>1.13711888757843</v>
      </c>
      <c r="R14" s="23" t="n">
        <f aca="false">IF(AND(R$8&gt;=$E14,R$8&lt;=$F14),$D14/($F14-$E14+1),"")</f>
        <v>1.13711888757843</v>
      </c>
      <c r="S14" s="23" t="n">
        <f aca="false">IF(AND(S$8&gt;=$E14,S$8&lt;=$F14),$D14/($F14-$E14+1),"")</f>
        <v>1.13711888757843</v>
      </c>
      <c r="T14" s="23" t="n">
        <f aca="false">IF(AND(T$8&gt;=$E14,T$8&lt;=$F14),$D14/($F14-$E14+1),"")</f>
        <v>1.13711888757843</v>
      </c>
      <c r="U14" s="23" t="n">
        <f aca="false">IF(AND(U$8&gt;=$E14,U$8&lt;=$F14),$D14/($F14-$E14+1),"")</f>
        <v>1.13711888757843</v>
      </c>
      <c r="V14" s="23" t="n">
        <f aca="false">IF(AND(V$8&gt;=$E14,V$8&lt;=$F14),$D14/($F14-$E14+1),"")</f>
        <v>1.13711888757843</v>
      </c>
      <c r="W14" s="23" t="n">
        <f aca="false">IF(AND(W$8&gt;=$E14,W$8&lt;=$F14),$D14/($F14-$E14+1),"")</f>
        <v>1.13711888757843</v>
      </c>
      <c r="X14" s="23" t="n">
        <f aca="false">IF(AND(X$8&gt;=$E14,X$8&lt;=$F14),$D14/($F14-$E14+1),"")</f>
        <v>1.13711888757843</v>
      </c>
      <c r="Y14" s="23" t="n">
        <f aca="false">IF(AND(Y$8&gt;=$E14,Y$8&lt;=$F14),$D14/($F14-$E14+1),"")</f>
        <v>1.13711888757843</v>
      </c>
      <c r="Z14" s="23" t="n">
        <f aca="false">IF(AND(Z$8&gt;=$E14,Z$8&lt;=$F14),$D14/($F14-$E14+1),"")</f>
        <v>1.13711888757843</v>
      </c>
      <c r="AA14" s="23" t="n">
        <f aca="false">IF(AND(AA$8&gt;=$E14,AA$8&lt;=$F14),$D14/($F14-$E14+1),"")</f>
        <v>1.13711888757843</v>
      </c>
      <c r="AB14" s="18" t="n">
        <f aca="false">ROUND(SUM(G14:AA14)-D14,6)</f>
        <v>0</v>
      </c>
    </row>
    <row r="15" customFormat="false" ht="19.5" hidden="false" customHeight="true" outlineLevel="0" collapsed="false">
      <c r="A15" s="14" t="s">
        <v>28</v>
      </c>
      <c r="B15" s="15" t="s">
        <v>29</v>
      </c>
      <c r="C15" s="14" t="s">
        <v>23</v>
      </c>
      <c r="D15" s="24" t="n">
        <v>13.0379206165915</v>
      </c>
      <c r="E15" s="22" t="n">
        <v>2</v>
      </c>
      <c r="F15" s="22" t="n">
        <v>12</v>
      </c>
      <c r="G15" s="23" t="str">
        <f aca="false">IF(AND(G$8&gt;=$E15,G$8&lt;=$F15),$D15/($F15-$E15+1),"")</f>
        <v/>
      </c>
      <c r="H15" s="23" t="n">
        <f aca="false">IF(AND(H$8&gt;=$E15,H$8&lt;=$F15),$D15/($F15-$E15+1),"")</f>
        <v>1.18526551059923</v>
      </c>
      <c r="I15" s="23" t="n">
        <f aca="false">IF(AND(I$8&gt;=$E15,I$8&lt;=$F15),$D15/($F15-$E15+1),"")</f>
        <v>1.18526551059923</v>
      </c>
      <c r="J15" s="23" t="n">
        <f aca="false">IF(AND(J$8&gt;=$E15,J$8&lt;=$F15),$D15/($F15-$E15+1),"")</f>
        <v>1.18526551059923</v>
      </c>
      <c r="K15" s="23" t="n">
        <f aca="false">IF(AND(K$8&gt;=$E15,K$8&lt;=$F15),$D15/($F15-$E15+1),"")</f>
        <v>1.18526551059923</v>
      </c>
      <c r="L15" s="23" t="n">
        <f aca="false">IF(AND(L$8&gt;=$E15,L$8&lt;=$F15),$D15/($F15-$E15+1),"")</f>
        <v>1.18526551059923</v>
      </c>
      <c r="M15" s="23" t="n">
        <f aca="false">IF(AND(M$8&gt;=$E15,M$8&lt;=$F15),$D15/($F15-$E15+1),"")</f>
        <v>1.18526551059923</v>
      </c>
      <c r="N15" s="23" t="n">
        <f aca="false">IF(AND(N$8&gt;=$E15,N$8&lt;=$F15),$D15/($F15-$E15+1),"")</f>
        <v>1.18526551059923</v>
      </c>
      <c r="O15" s="23" t="n">
        <f aca="false">IF(AND(O$8&gt;=$E15,O$8&lt;=$F15),$D15/($F15-$E15+1),"")</f>
        <v>1.18526551059923</v>
      </c>
      <c r="P15" s="23" t="n">
        <f aca="false">IF(AND(P$8&gt;=$E15,P$8&lt;=$F15),$D15/($F15-$E15+1),"")</f>
        <v>1.18526551059923</v>
      </c>
      <c r="Q15" s="23" t="n">
        <f aca="false">IF(AND(Q$8&gt;=$E15,Q$8&lt;=$F15),$D15/($F15-$E15+1),"")</f>
        <v>1.18526551059923</v>
      </c>
      <c r="R15" s="23" t="n">
        <f aca="false">IF(AND(R$8&gt;=$E15,R$8&lt;=$F15),$D15/($F15-$E15+1),"")</f>
        <v>1.18526551059923</v>
      </c>
      <c r="S15" s="23" t="str">
        <f aca="false">IF(AND(S$8&gt;=$E15,S$8&lt;=$F15),$D15/($F15-$E15+1),"")</f>
        <v/>
      </c>
      <c r="T15" s="23" t="str">
        <f aca="false">IF(AND(T$8&gt;=$E15,T$8&lt;=$F15),$D15/($F15-$E15+1),"")</f>
        <v/>
      </c>
      <c r="U15" s="23" t="str">
        <f aca="false">IF(AND(U$8&gt;=$E15,U$8&lt;=$F15),$D15/($F15-$E15+1),"")</f>
        <v/>
      </c>
      <c r="V15" s="23" t="str">
        <f aca="false">IF(AND(V$8&gt;=$E15,V$8&lt;=$F15),$D15/($F15-$E15+1),"")</f>
        <v/>
      </c>
      <c r="W15" s="23" t="str">
        <f aca="false">IF(AND(W$8&gt;=$E15,W$8&lt;=$F15),$D15/($F15-$E15+1),"")</f>
        <v/>
      </c>
      <c r="X15" s="23" t="str">
        <f aca="false">IF(AND(X$8&gt;=$E15,X$8&lt;=$F15),$D15/($F15-$E15+1),"")</f>
        <v/>
      </c>
      <c r="Y15" s="23" t="str">
        <f aca="false">IF(AND(Y$8&gt;=$E15,Y$8&lt;=$F15),$D15/($F15-$E15+1),"")</f>
        <v/>
      </c>
      <c r="Z15" s="23" t="str">
        <f aca="false">IF(AND(Z$8&gt;=$E15,Z$8&lt;=$F15),$D15/($F15-$E15+1),"")</f>
        <v/>
      </c>
      <c r="AA15" s="23" t="str">
        <f aca="false">IF(AND(AA$8&gt;=$E15,AA$8&lt;=$F15),$D15/($F15-$E15+1),"")</f>
        <v/>
      </c>
      <c r="AB15" s="18" t="n">
        <f aca="false">ROUND(SUM(G15:AA15)-D15,6)</f>
        <v>0</v>
      </c>
    </row>
    <row r="16" customFormat="false" ht="19.5" hidden="false" customHeight="true" outlineLevel="0" collapsed="false">
      <c r="A16" s="14" t="s">
        <v>30</v>
      </c>
      <c r="B16" s="15" t="s">
        <v>31</v>
      </c>
      <c r="C16" s="14" t="s">
        <v>23</v>
      </c>
      <c r="D16" s="24" t="n">
        <v>2.60339464111225</v>
      </c>
      <c r="E16" s="22" t="n">
        <v>4</v>
      </c>
      <c r="F16" s="22" t="n">
        <v>13</v>
      </c>
      <c r="G16" s="23" t="str">
        <f aca="false">IF(AND(G$8&gt;=$E16,G$8&lt;=$F16),$D16/($F16-$E16+1),"")</f>
        <v/>
      </c>
      <c r="H16" s="23" t="str">
        <f aca="false">IF(AND(H$8&gt;=$E16,H$8&lt;=$F16),$D16/($F16-$E16+1),"")</f>
        <v/>
      </c>
      <c r="I16" s="23" t="str">
        <f aca="false">IF(AND(I$8&gt;=$E16,I$8&lt;=$F16),$D16/($F16-$E16+1),"")</f>
        <v/>
      </c>
      <c r="J16" s="23" t="n">
        <f aca="false">IF(AND(J$8&gt;=$E16,J$8&lt;=$F16),$D16/($F16-$E16+1),"")</f>
        <v>0.260339464111225</v>
      </c>
      <c r="K16" s="23" t="n">
        <f aca="false">IF(AND(K$8&gt;=$E16,K$8&lt;=$F16),$D16/($F16-$E16+1),"")</f>
        <v>0.260339464111225</v>
      </c>
      <c r="L16" s="23" t="n">
        <f aca="false">IF(AND(L$8&gt;=$E16,L$8&lt;=$F16),$D16/($F16-$E16+1),"")</f>
        <v>0.260339464111225</v>
      </c>
      <c r="M16" s="23" t="n">
        <f aca="false">IF(AND(M$8&gt;=$E16,M$8&lt;=$F16),$D16/($F16-$E16+1),"")</f>
        <v>0.260339464111225</v>
      </c>
      <c r="N16" s="23" t="n">
        <f aca="false">IF(AND(N$8&gt;=$E16,N$8&lt;=$F16),$D16/($F16-$E16+1),"")</f>
        <v>0.260339464111225</v>
      </c>
      <c r="O16" s="23" t="n">
        <f aca="false">IF(AND(O$8&gt;=$E16,O$8&lt;=$F16),$D16/($F16-$E16+1),"")</f>
        <v>0.260339464111225</v>
      </c>
      <c r="P16" s="23" t="n">
        <f aca="false">IF(AND(P$8&gt;=$E16,P$8&lt;=$F16),$D16/($F16-$E16+1),"")</f>
        <v>0.260339464111225</v>
      </c>
      <c r="Q16" s="23" t="n">
        <f aca="false">IF(AND(Q$8&gt;=$E16,Q$8&lt;=$F16),$D16/($F16-$E16+1),"")</f>
        <v>0.260339464111225</v>
      </c>
      <c r="R16" s="23" t="n">
        <f aca="false">IF(AND(R$8&gt;=$E16,R$8&lt;=$F16),$D16/($F16-$E16+1),"")</f>
        <v>0.260339464111225</v>
      </c>
      <c r="S16" s="23" t="n">
        <f aca="false">IF(AND(S$8&gt;=$E16,S$8&lt;=$F16),$D16/($F16-$E16+1),"")</f>
        <v>0.260339464111225</v>
      </c>
      <c r="T16" s="23" t="str">
        <f aca="false">IF(AND(T$8&gt;=$E16,T$8&lt;=$F16),$D16/($F16-$E16+1),"")</f>
        <v/>
      </c>
      <c r="U16" s="23" t="str">
        <f aca="false">IF(AND(U$8&gt;=$E16,U$8&lt;=$F16),$D16/($F16-$E16+1),"")</f>
        <v/>
      </c>
      <c r="V16" s="23" t="str">
        <f aca="false">IF(AND(V$8&gt;=$E16,V$8&lt;=$F16),$D16/($F16-$E16+1),"")</f>
        <v/>
      </c>
      <c r="W16" s="23" t="str">
        <f aca="false">IF(AND(W$8&gt;=$E16,W$8&lt;=$F16),$D16/($F16-$E16+1),"")</f>
        <v/>
      </c>
      <c r="X16" s="23" t="str">
        <f aca="false">IF(AND(X$8&gt;=$E16,X$8&lt;=$F16),$D16/($F16-$E16+1),"")</f>
        <v/>
      </c>
      <c r="Y16" s="23" t="str">
        <f aca="false">IF(AND(Y$8&gt;=$E16,Y$8&lt;=$F16),$D16/($F16-$E16+1),"")</f>
        <v/>
      </c>
      <c r="Z16" s="23" t="str">
        <f aca="false">IF(AND(Z$8&gt;=$E16,Z$8&lt;=$F16),$D16/($F16-$E16+1),"")</f>
        <v/>
      </c>
      <c r="AA16" s="23" t="str">
        <f aca="false">IF(AND(AA$8&gt;=$E16,AA$8&lt;=$F16),$D16/($F16-$E16+1),"")</f>
        <v/>
      </c>
      <c r="AB16" s="18" t="n">
        <f aca="false">ROUND(SUM(G16:AA16)-D16,6)</f>
        <v>0</v>
      </c>
    </row>
    <row r="17" customFormat="false" ht="19.5" hidden="false" customHeight="true" outlineLevel="0" collapsed="false">
      <c r="A17" s="14" t="s">
        <v>32</v>
      </c>
      <c r="B17" s="15" t="s">
        <v>33</v>
      </c>
      <c r="C17" s="14" t="s">
        <v>23</v>
      </c>
      <c r="D17" s="24" t="n">
        <v>0.733022011811858</v>
      </c>
      <c r="E17" s="22" t="n">
        <v>7</v>
      </c>
      <c r="F17" s="22" t="n">
        <v>15</v>
      </c>
      <c r="G17" s="23" t="str">
        <f aca="false">IF(AND(G$8&gt;=$E17,G$8&lt;=$F17),$D17/($F17-$E17+1),"")</f>
        <v/>
      </c>
      <c r="H17" s="23" t="str">
        <f aca="false">IF(AND(H$8&gt;=$E17,H$8&lt;=$F17),$D17/($F17-$E17+1),"")</f>
        <v/>
      </c>
      <c r="I17" s="23" t="str">
        <f aca="false">IF(AND(I$8&gt;=$E17,I$8&lt;=$F17),$D17/($F17-$E17+1),"")</f>
        <v/>
      </c>
      <c r="J17" s="23" t="str">
        <f aca="false">IF(AND(J$8&gt;=$E17,J$8&lt;=$F17),$D17/($F17-$E17+1),"")</f>
        <v/>
      </c>
      <c r="K17" s="23" t="str">
        <f aca="false">IF(AND(K$8&gt;=$E17,K$8&lt;=$F17),$D17/($F17-$E17+1),"")</f>
        <v/>
      </c>
      <c r="L17" s="23" t="str">
        <f aca="false">IF(AND(L$8&gt;=$E17,L$8&lt;=$F17),$D17/($F17-$E17+1),"")</f>
        <v/>
      </c>
      <c r="M17" s="23" t="n">
        <f aca="false">IF(AND(M$8&gt;=$E17,M$8&lt;=$F17),$D17/($F17-$E17+1),"")</f>
        <v>0.0814468902013176</v>
      </c>
      <c r="N17" s="23" t="n">
        <f aca="false">IF(AND(N$8&gt;=$E17,N$8&lt;=$F17),$D17/($F17-$E17+1),"")</f>
        <v>0.0814468902013176</v>
      </c>
      <c r="O17" s="23" t="n">
        <f aca="false">IF(AND(O$8&gt;=$E17,O$8&lt;=$F17),$D17/($F17-$E17+1),"")</f>
        <v>0.0814468902013176</v>
      </c>
      <c r="P17" s="23" t="n">
        <f aca="false">IF(AND(P$8&gt;=$E17,P$8&lt;=$F17),$D17/($F17-$E17+1),"")</f>
        <v>0.0814468902013176</v>
      </c>
      <c r="Q17" s="23" t="n">
        <f aca="false">IF(AND(Q$8&gt;=$E17,Q$8&lt;=$F17),$D17/($F17-$E17+1),"")</f>
        <v>0.0814468902013176</v>
      </c>
      <c r="R17" s="23" t="n">
        <f aca="false">IF(AND(R$8&gt;=$E17,R$8&lt;=$F17),$D17/($F17-$E17+1),"")</f>
        <v>0.0814468902013176</v>
      </c>
      <c r="S17" s="23" t="n">
        <f aca="false">IF(AND(S$8&gt;=$E17,S$8&lt;=$F17),$D17/($F17-$E17+1),"")</f>
        <v>0.0814468902013176</v>
      </c>
      <c r="T17" s="23" t="n">
        <f aca="false">IF(AND(T$8&gt;=$E17,T$8&lt;=$F17),$D17/($F17-$E17+1),"")</f>
        <v>0.0814468902013176</v>
      </c>
      <c r="U17" s="23" t="n">
        <f aca="false">IF(AND(U$8&gt;=$E17,U$8&lt;=$F17),$D17/($F17-$E17+1),"")</f>
        <v>0.0814468902013176</v>
      </c>
      <c r="V17" s="23" t="str">
        <f aca="false">IF(AND(V$8&gt;=$E17,V$8&lt;=$F17),$D17/($F17-$E17+1),"")</f>
        <v/>
      </c>
      <c r="W17" s="23" t="str">
        <f aca="false">IF(AND(W$8&gt;=$E17,W$8&lt;=$F17),$D17/($F17-$E17+1),"")</f>
        <v/>
      </c>
      <c r="X17" s="23" t="str">
        <f aca="false">IF(AND(X$8&gt;=$E17,X$8&lt;=$F17),$D17/($F17-$E17+1),"")</f>
        <v/>
      </c>
      <c r="Y17" s="23" t="str">
        <f aca="false">IF(AND(Y$8&gt;=$E17,Y$8&lt;=$F17),$D17/($F17-$E17+1),"")</f>
        <v/>
      </c>
      <c r="Z17" s="23" t="str">
        <f aca="false">IF(AND(Z$8&gt;=$E17,Z$8&lt;=$F17),$D17/($F17-$E17+1),"")</f>
        <v/>
      </c>
      <c r="AA17" s="23" t="str">
        <f aca="false">IF(AND(AA$8&gt;=$E17,AA$8&lt;=$F17),$D17/($F17-$E17+1),"")</f>
        <v/>
      </c>
      <c r="AB17" s="18" t="n">
        <f aca="false">ROUND(SUM(G17:AA17)-D17,6)</f>
        <v>0</v>
      </c>
    </row>
    <row r="18" customFormat="false" ht="30" hidden="false" customHeight="true" outlineLevel="0" collapsed="false">
      <c r="A18" s="14" t="s">
        <v>34</v>
      </c>
      <c r="B18" s="15" t="s">
        <v>35</v>
      </c>
      <c r="C18" s="14" t="s">
        <v>23</v>
      </c>
      <c r="D18" s="24" t="n">
        <v>1.14576984875</v>
      </c>
      <c r="E18" s="22" t="n">
        <v>13</v>
      </c>
      <c r="F18" s="22" t="n">
        <v>19</v>
      </c>
      <c r="G18" s="23" t="str">
        <f aca="false">IF(AND(G$8&gt;=$E18,G$8&lt;=$F18),$D18/($F18-$E18+1),"")</f>
        <v/>
      </c>
      <c r="H18" s="23" t="str">
        <f aca="false">IF(AND(H$8&gt;=$E18,H$8&lt;=$F18),$D18/($F18-$E18+1),"")</f>
        <v/>
      </c>
      <c r="I18" s="23" t="str">
        <f aca="false">IF(AND(I$8&gt;=$E18,I$8&lt;=$F18),$D18/($F18-$E18+1),"")</f>
        <v/>
      </c>
      <c r="J18" s="23" t="str">
        <f aca="false">IF(AND(J$8&gt;=$E18,J$8&lt;=$F18),$D18/($F18-$E18+1),"")</f>
        <v/>
      </c>
      <c r="K18" s="23" t="str">
        <f aca="false">IF(AND(K$8&gt;=$E18,K$8&lt;=$F18),$D18/($F18-$E18+1),"")</f>
        <v/>
      </c>
      <c r="L18" s="23" t="str">
        <f aca="false">IF(AND(L$8&gt;=$E18,L$8&lt;=$F18),$D18/($F18-$E18+1),"")</f>
        <v/>
      </c>
      <c r="M18" s="23" t="str">
        <f aca="false">IF(AND(M$8&gt;=$E18,M$8&lt;=$F18),$D18/($F18-$E18+1),"")</f>
        <v/>
      </c>
      <c r="N18" s="23" t="str">
        <f aca="false">IF(AND(N$8&gt;=$E18,N$8&lt;=$F18),$D18/($F18-$E18+1),"")</f>
        <v/>
      </c>
      <c r="O18" s="23" t="str">
        <f aca="false">IF(AND(O$8&gt;=$E18,O$8&lt;=$F18),$D18/($F18-$E18+1),"")</f>
        <v/>
      </c>
      <c r="P18" s="23" t="str">
        <f aca="false">IF(AND(P$8&gt;=$E18,P$8&lt;=$F18),$D18/($F18-$E18+1),"")</f>
        <v/>
      </c>
      <c r="Q18" s="23" t="str">
        <f aca="false">IF(AND(Q$8&gt;=$E18,Q$8&lt;=$F18),$D18/($F18-$E18+1),"")</f>
        <v/>
      </c>
      <c r="R18" s="23" t="str">
        <f aca="false">IF(AND(R$8&gt;=$E18,R$8&lt;=$F18),$D18/($F18-$E18+1),"")</f>
        <v/>
      </c>
      <c r="S18" s="23" t="n">
        <f aca="false">IF(AND(S$8&gt;=$E18,S$8&lt;=$F18),$D18/($F18-$E18+1),"")</f>
        <v>0.163681406964286</v>
      </c>
      <c r="T18" s="23" t="n">
        <f aca="false">IF(AND(T$8&gt;=$E18,T$8&lt;=$F18),$D18/($F18-$E18+1),"")</f>
        <v>0.163681406964286</v>
      </c>
      <c r="U18" s="23" t="n">
        <f aca="false">IF(AND(U$8&gt;=$E18,U$8&lt;=$F18),$D18/($F18-$E18+1),"")</f>
        <v>0.163681406964286</v>
      </c>
      <c r="V18" s="23" t="n">
        <f aca="false">IF(AND(V$8&gt;=$E18,V$8&lt;=$F18),$D18/($F18-$E18+1),"")</f>
        <v>0.163681406964286</v>
      </c>
      <c r="W18" s="23" t="n">
        <f aca="false">IF(AND(W$8&gt;=$E18,W$8&lt;=$F18),$D18/($F18-$E18+1),"")</f>
        <v>0.163681406964286</v>
      </c>
      <c r="X18" s="23" t="n">
        <f aca="false">IF(AND(X$8&gt;=$E18,X$8&lt;=$F18),$D18/($F18-$E18+1),"")</f>
        <v>0.163681406964286</v>
      </c>
      <c r="Y18" s="23" t="n">
        <f aca="false">IF(AND(Y$8&gt;=$E18,Y$8&lt;=$F18),$D18/($F18-$E18+1),"")</f>
        <v>0.163681406964286</v>
      </c>
      <c r="Z18" s="23" t="str">
        <f aca="false">IF(AND(Z$8&gt;=$E18,Z$8&lt;=$F18),$D18/($F18-$E18+1),"")</f>
        <v/>
      </c>
      <c r="AA18" s="23" t="str">
        <f aca="false">IF(AND(AA$8&gt;=$E18,AA$8&lt;=$F18),$D18/($F18-$E18+1),"")</f>
        <v/>
      </c>
      <c r="AB18" s="18" t="n">
        <f aca="false">ROUND(SUM(G18:AA18)-D18,6)</f>
        <v>0</v>
      </c>
    </row>
    <row r="19" customFormat="false" ht="30" hidden="false" customHeight="true" outlineLevel="0" collapsed="false">
      <c r="A19" s="14" t="s">
        <v>36</v>
      </c>
      <c r="B19" s="15" t="s">
        <v>37</v>
      </c>
      <c r="C19" s="14" t="s">
        <v>23</v>
      </c>
      <c r="D19" s="24" t="n">
        <v>6.9411906693</v>
      </c>
      <c r="E19" s="22" t="n">
        <v>9</v>
      </c>
      <c r="F19" s="22" t="n">
        <v>19</v>
      </c>
      <c r="G19" s="23" t="str">
        <f aca="false">IF(AND(G$8&gt;=$E19,G$8&lt;=$F19),$D19/($F19-$E19+1),"")</f>
        <v/>
      </c>
      <c r="H19" s="23" t="str">
        <f aca="false">IF(AND(H$8&gt;=$E19,H$8&lt;=$F19),$D19/($F19-$E19+1),"")</f>
        <v/>
      </c>
      <c r="I19" s="23" t="str">
        <f aca="false">IF(AND(I$8&gt;=$E19,I$8&lt;=$F19),$D19/($F19-$E19+1),"")</f>
        <v/>
      </c>
      <c r="J19" s="23" t="str">
        <f aca="false">IF(AND(J$8&gt;=$E19,J$8&lt;=$F19),$D19/($F19-$E19+1),"")</f>
        <v/>
      </c>
      <c r="K19" s="23" t="str">
        <f aca="false">IF(AND(K$8&gt;=$E19,K$8&lt;=$F19),$D19/($F19-$E19+1),"")</f>
        <v/>
      </c>
      <c r="L19" s="23" t="str">
        <f aca="false">IF(AND(L$8&gt;=$E19,L$8&lt;=$F19),$D19/($F19-$E19+1),"")</f>
        <v/>
      </c>
      <c r="M19" s="23" t="str">
        <f aca="false">IF(AND(M$8&gt;=$E19,M$8&lt;=$F19),$D19/($F19-$E19+1),"")</f>
        <v/>
      </c>
      <c r="N19" s="23" t="str">
        <f aca="false">IF(AND(N$8&gt;=$E19,N$8&lt;=$F19),$D19/($F19-$E19+1),"")</f>
        <v/>
      </c>
      <c r="O19" s="23" t="n">
        <f aca="false">IF(AND(O$8&gt;=$E19,O$8&lt;=$F19),$D19/($F19-$E19+1),"")</f>
        <v>0.631017333572727</v>
      </c>
      <c r="P19" s="23" t="n">
        <f aca="false">IF(AND(P$8&gt;=$E19,P$8&lt;=$F19),$D19/($F19-$E19+1),"")</f>
        <v>0.631017333572727</v>
      </c>
      <c r="Q19" s="23" t="n">
        <f aca="false">IF(AND(Q$8&gt;=$E19,Q$8&lt;=$F19),$D19/($F19-$E19+1),"")</f>
        <v>0.631017333572727</v>
      </c>
      <c r="R19" s="23" t="n">
        <f aca="false">IF(AND(R$8&gt;=$E19,R$8&lt;=$F19),$D19/($F19-$E19+1),"")</f>
        <v>0.631017333572727</v>
      </c>
      <c r="S19" s="23" t="n">
        <f aca="false">IF(AND(S$8&gt;=$E19,S$8&lt;=$F19),$D19/($F19-$E19+1),"")</f>
        <v>0.631017333572727</v>
      </c>
      <c r="T19" s="23" t="n">
        <f aca="false">IF(AND(T$8&gt;=$E19,T$8&lt;=$F19),$D19/($F19-$E19+1),"")</f>
        <v>0.631017333572727</v>
      </c>
      <c r="U19" s="23" t="n">
        <f aca="false">IF(AND(U$8&gt;=$E19,U$8&lt;=$F19),$D19/($F19-$E19+1),"")</f>
        <v>0.631017333572727</v>
      </c>
      <c r="V19" s="23" t="n">
        <f aca="false">IF(AND(V$8&gt;=$E19,V$8&lt;=$F19),$D19/($F19-$E19+1),"")</f>
        <v>0.631017333572727</v>
      </c>
      <c r="W19" s="23" t="n">
        <f aca="false">IF(AND(W$8&gt;=$E19,W$8&lt;=$F19),$D19/($F19-$E19+1),"")</f>
        <v>0.631017333572727</v>
      </c>
      <c r="X19" s="23" t="n">
        <f aca="false">IF(AND(X$8&gt;=$E19,X$8&lt;=$F19),$D19/($F19-$E19+1),"")</f>
        <v>0.631017333572727</v>
      </c>
      <c r="Y19" s="23" t="n">
        <f aca="false">IF(AND(Y$8&gt;=$E19,Y$8&lt;=$F19),$D19/($F19-$E19+1),"")</f>
        <v>0.631017333572727</v>
      </c>
      <c r="Z19" s="23" t="str">
        <f aca="false">IF(AND(Z$8&gt;=$E19,Z$8&lt;=$F19),$D19/($F19-$E19+1),"")</f>
        <v/>
      </c>
      <c r="AA19" s="23" t="str">
        <f aca="false">IF(AND(AA$8&gt;=$E19,AA$8&lt;=$F19),$D19/($F19-$E19+1),"")</f>
        <v/>
      </c>
      <c r="AB19" s="18" t="n">
        <f aca="false">ROUND(SUM(G19:AA19)-D19,6)</f>
        <v>0</v>
      </c>
    </row>
    <row r="20" customFormat="false" ht="19.5" hidden="false" customHeight="true" outlineLevel="0" collapsed="false">
      <c r="A20" s="14" t="s">
        <v>38</v>
      </c>
      <c r="B20" s="15" t="s">
        <v>39</v>
      </c>
      <c r="C20" s="14" t="s">
        <v>23</v>
      </c>
      <c r="D20" s="24" t="n">
        <v>3.10300009075</v>
      </c>
      <c r="E20" s="22" t="n">
        <v>12</v>
      </c>
      <c r="F20" s="22" t="n">
        <v>20</v>
      </c>
      <c r="G20" s="23" t="str">
        <f aca="false">IF(AND(G$8&gt;=$E20,G$8&lt;=$F20),$D20/($F20-$E20+1),"")</f>
        <v/>
      </c>
      <c r="H20" s="23" t="str">
        <f aca="false">IF(AND(H$8&gt;=$E20,H$8&lt;=$F20),$D20/($F20-$E20+1),"")</f>
        <v/>
      </c>
      <c r="I20" s="23" t="str">
        <f aca="false">IF(AND(I$8&gt;=$E20,I$8&lt;=$F20),$D20/($F20-$E20+1),"")</f>
        <v/>
      </c>
      <c r="J20" s="23" t="str">
        <f aca="false">IF(AND(J$8&gt;=$E20,J$8&lt;=$F20),$D20/($F20-$E20+1),"")</f>
        <v/>
      </c>
      <c r="K20" s="23" t="str">
        <f aca="false">IF(AND(K$8&gt;=$E20,K$8&lt;=$F20),$D20/($F20-$E20+1),"")</f>
        <v/>
      </c>
      <c r="L20" s="23" t="str">
        <f aca="false">IF(AND(L$8&gt;=$E20,L$8&lt;=$F20),$D20/($F20-$E20+1),"")</f>
        <v/>
      </c>
      <c r="M20" s="23" t="str">
        <f aca="false">IF(AND(M$8&gt;=$E20,M$8&lt;=$F20),$D20/($F20-$E20+1),"")</f>
        <v/>
      </c>
      <c r="N20" s="23" t="str">
        <f aca="false">IF(AND(N$8&gt;=$E20,N$8&lt;=$F20),$D20/($F20-$E20+1),"")</f>
        <v/>
      </c>
      <c r="O20" s="23" t="str">
        <f aca="false">IF(AND(O$8&gt;=$E20,O$8&lt;=$F20),$D20/($F20-$E20+1),"")</f>
        <v/>
      </c>
      <c r="P20" s="23" t="str">
        <f aca="false">IF(AND(P$8&gt;=$E20,P$8&lt;=$F20),$D20/($F20-$E20+1),"")</f>
        <v/>
      </c>
      <c r="Q20" s="23" t="str">
        <f aca="false">IF(AND(Q$8&gt;=$E20,Q$8&lt;=$F20),$D20/($F20-$E20+1),"")</f>
        <v/>
      </c>
      <c r="R20" s="23" t="n">
        <f aca="false">IF(AND(R$8&gt;=$E20,R$8&lt;=$F20),$D20/($F20-$E20+1),"")</f>
        <v>0.344777787861111</v>
      </c>
      <c r="S20" s="23" t="n">
        <f aca="false">IF(AND(S$8&gt;=$E20,S$8&lt;=$F20),$D20/($F20-$E20+1),"")</f>
        <v>0.344777787861111</v>
      </c>
      <c r="T20" s="23" t="n">
        <f aca="false">IF(AND(T$8&gt;=$E20,T$8&lt;=$F20),$D20/($F20-$E20+1),"")</f>
        <v>0.344777787861111</v>
      </c>
      <c r="U20" s="23" t="n">
        <f aca="false">IF(AND(U$8&gt;=$E20,U$8&lt;=$F20),$D20/($F20-$E20+1),"")</f>
        <v>0.344777787861111</v>
      </c>
      <c r="V20" s="23" t="n">
        <f aca="false">IF(AND(V$8&gt;=$E20,V$8&lt;=$F20),$D20/($F20-$E20+1),"")</f>
        <v>0.344777787861111</v>
      </c>
      <c r="W20" s="23" t="n">
        <f aca="false">IF(AND(W$8&gt;=$E20,W$8&lt;=$F20),$D20/($F20-$E20+1),"")</f>
        <v>0.344777787861111</v>
      </c>
      <c r="X20" s="23" t="n">
        <f aca="false">IF(AND(X$8&gt;=$E20,X$8&lt;=$F20),$D20/($F20-$E20+1),"")</f>
        <v>0.344777787861111</v>
      </c>
      <c r="Y20" s="23" t="n">
        <f aca="false">IF(AND(Y$8&gt;=$E20,Y$8&lt;=$F20),$D20/($F20-$E20+1),"")</f>
        <v>0.344777787861111</v>
      </c>
      <c r="Z20" s="23" t="n">
        <f aca="false">IF(AND(Z$8&gt;=$E20,Z$8&lt;=$F20),$D20/($F20-$E20+1),"")</f>
        <v>0.344777787861111</v>
      </c>
      <c r="AA20" s="23" t="str">
        <f aca="false">IF(AND(AA$8&gt;=$E20,AA$8&lt;=$F20),$D20/($F20-$E20+1),"")</f>
        <v/>
      </c>
      <c r="AB20" s="18" t="n">
        <f aca="false">ROUND(SUM(G20:AA20)-D20,6)</f>
        <v>0</v>
      </c>
    </row>
    <row r="21" customFormat="false" ht="19.5" hidden="false" customHeight="true" outlineLevel="0" collapsed="false">
      <c r="A21" s="14" t="s">
        <v>40</v>
      </c>
      <c r="B21" s="15" t="s">
        <v>41</v>
      </c>
      <c r="C21" s="14" t="s">
        <v>23</v>
      </c>
      <c r="D21" s="24" t="n">
        <v>2.00674926649899</v>
      </c>
      <c r="E21" s="22" t="n">
        <v>8</v>
      </c>
      <c r="F21" s="22" t="n">
        <v>17</v>
      </c>
      <c r="G21" s="23" t="str">
        <f aca="false">IF(AND(G$8&gt;=$E21,G$8&lt;=$F21),$D21/($F21-$E21+1),"")</f>
        <v/>
      </c>
      <c r="H21" s="23" t="str">
        <f aca="false">IF(AND(H$8&gt;=$E21,H$8&lt;=$F21),$D21/($F21-$E21+1),"")</f>
        <v/>
      </c>
      <c r="I21" s="23" t="str">
        <f aca="false">IF(AND(I$8&gt;=$E21,I$8&lt;=$F21),$D21/($F21-$E21+1),"")</f>
        <v/>
      </c>
      <c r="J21" s="23" t="str">
        <f aca="false">IF(AND(J$8&gt;=$E21,J$8&lt;=$F21),$D21/($F21-$E21+1),"")</f>
        <v/>
      </c>
      <c r="K21" s="23" t="str">
        <f aca="false">IF(AND(K$8&gt;=$E21,K$8&lt;=$F21),$D21/($F21-$E21+1),"")</f>
        <v/>
      </c>
      <c r="L21" s="23" t="str">
        <f aca="false">IF(AND(L$8&gt;=$E21,L$8&lt;=$F21),$D21/($F21-$E21+1),"")</f>
        <v/>
      </c>
      <c r="M21" s="23" t="str">
        <f aca="false">IF(AND(M$8&gt;=$E21,M$8&lt;=$F21),$D21/($F21-$E21+1),"")</f>
        <v/>
      </c>
      <c r="N21" s="23" t="n">
        <f aca="false">IF(AND(N$8&gt;=$E21,N$8&lt;=$F21),$D21/($F21-$E21+1),"")</f>
        <v>0.200674926649899</v>
      </c>
      <c r="O21" s="23" t="n">
        <f aca="false">IF(AND(O$8&gt;=$E21,O$8&lt;=$F21),$D21/($F21-$E21+1),"")</f>
        <v>0.200674926649899</v>
      </c>
      <c r="P21" s="23" t="n">
        <f aca="false">IF(AND(P$8&gt;=$E21,P$8&lt;=$F21),$D21/($F21-$E21+1),"")</f>
        <v>0.200674926649899</v>
      </c>
      <c r="Q21" s="23" t="n">
        <f aca="false">IF(AND(Q$8&gt;=$E21,Q$8&lt;=$F21),$D21/($F21-$E21+1),"")</f>
        <v>0.200674926649899</v>
      </c>
      <c r="R21" s="23" t="n">
        <f aca="false">IF(AND(R$8&gt;=$E21,R$8&lt;=$F21),$D21/($F21-$E21+1),"")</f>
        <v>0.200674926649899</v>
      </c>
      <c r="S21" s="23" t="n">
        <f aca="false">IF(AND(S$8&gt;=$E21,S$8&lt;=$F21),$D21/($F21-$E21+1),"")</f>
        <v>0.200674926649899</v>
      </c>
      <c r="T21" s="23" t="n">
        <f aca="false">IF(AND(T$8&gt;=$E21,T$8&lt;=$F21),$D21/($F21-$E21+1),"")</f>
        <v>0.200674926649899</v>
      </c>
      <c r="U21" s="23" t="n">
        <f aca="false">IF(AND(U$8&gt;=$E21,U$8&lt;=$F21),$D21/($F21-$E21+1),"")</f>
        <v>0.200674926649899</v>
      </c>
      <c r="V21" s="23" t="n">
        <f aca="false">IF(AND(V$8&gt;=$E21,V$8&lt;=$F21),$D21/($F21-$E21+1),"")</f>
        <v>0.200674926649899</v>
      </c>
      <c r="W21" s="23" t="n">
        <f aca="false">IF(AND(W$8&gt;=$E21,W$8&lt;=$F21),$D21/($F21-$E21+1),"")</f>
        <v>0.200674926649899</v>
      </c>
      <c r="X21" s="23" t="str">
        <f aca="false">IF(AND(X$8&gt;=$E21,X$8&lt;=$F21),$D21/($F21-$E21+1),"")</f>
        <v/>
      </c>
      <c r="Y21" s="23" t="str">
        <f aca="false">IF(AND(Y$8&gt;=$E21,Y$8&lt;=$F21),$D21/($F21-$E21+1),"")</f>
        <v/>
      </c>
      <c r="Z21" s="23" t="str">
        <f aca="false">IF(AND(Z$8&gt;=$E21,Z$8&lt;=$F21),$D21/($F21-$E21+1),"")</f>
        <v/>
      </c>
      <c r="AA21" s="23" t="str">
        <f aca="false">IF(AND(AA$8&gt;=$E21,AA$8&lt;=$F21),$D21/($F21-$E21+1),"")</f>
        <v/>
      </c>
      <c r="AB21" s="18" t="n">
        <f aca="false">ROUND(SUM(G21:AA21)-D21,6)</f>
        <v>0</v>
      </c>
    </row>
    <row r="22" customFormat="false" ht="30" hidden="false" customHeight="true" outlineLevel="0" collapsed="false">
      <c r="A22" s="14" t="s">
        <v>42</v>
      </c>
      <c r="B22" s="15" t="s">
        <v>43</v>
      </c>
      <c r="C22" s="14" t="s">
        <v>23</v>
      </c>
      <c r="D22" s="24" t="n">
        <v>1.58935962228894</v>
      </c>
      <c r="E22" s="22" t="n">
        <v>6</v>
      </c>
      <c r="F22" s="22" t="n">
        <v>16</v>
      </c>
      <c r="G22" s="23" t="str">
        <f aca="false">IF(AND(G$8&gt;=$E22,G$8&lt;=$F22),$D22/($F22-$E22+1),"")</f>
        <v/>
      </c>
      <c r="H22" s="23" t="str">
        <f aca="false">IF(AND(H$8&gt;=$E22,H$8&lt;=$F22),$D22/($F22-$E22+1),"")</f>
        <v/>
      </c>
      <c r="I22" s="23" t="str">
        <f aca="false">IF(AND(I$8&gt;=$E22,I$8&lt;=$F22),$D22/($F22-$E22+1),"")</f>
        <v/>
      </c>
      <c r="J22" s="23" t="str">
        <f aca="false">IF(AND(J$8&gt;=$E22,J$8&lt;=$F22),$D22/($F22-$E22+1),"")</f>
        <v/>
      </c>
      <c r="K22" s="23" t="str">
        <f aca="false">IF(AND(K$8&gt;=$E22,K$8&lt;=$F22),$D22/($F22-$E22+1),"")</f>
        <v/>
      </c>
      <c r="L22" s="23" t="n">
        <f aca="false">IF(AND(L$8&gt;=$E22,L$8&lt;=$F22),$D22/($F22-$E22+1),"")</f>
        <v>0.144487238389904</v>
      </c>
      <c r="M22" s="23" t="n">
        <f aca="false">IF(AND(M$8&gt;=$E22,M$8&lt;=$F22),$D22/($F22-$E22+1),"")</f>
        <v>0.144487238389904</v>
      </c>
      <c r="N22" s="23" t="n">
        <f aca="false">IF(AND(N$8&gt;=$E22,N$8&lt;=$F22),$D22/($F22-$E22+1),"")</f>
        <v>0.144487238389904</v>
      </c>
      <c r="O22" s="23" t="n">
        <f aca="false">IF(AND(O$8&gt;=$E22,O$8&lt;=$F22),$D22/($F22-$E22+1),"")</f>
        <v>0.144487238389904</v>
      </c>
      <c r="P22" s="23" t="n">
        <f aca="false">IF(AND(P$8&gt;=$E22,P$8&lt;=$F22),$D22/($F22-$E22+1),"")</f>
        <v>0.144487238389904</v>
      </c>
      <c r="Q22" s="23" t="n">
        <f aca="false">IF(AND(Q$8&gt;=$E22,Q$8&lt;=$F22),$D22/($F22-$E22+1),"")</f>
        <v>0.144487238389904</v>
      </c>
      <c r="R22" s="23" t="n">
        <f aca="false">IF(AND(R$8&gt;=$E22,R$8&lt;=$F22),$D22/($F22-$E22+1),"")</f>
        <v>0.144487238389904</v>
      </c>
      <c r="S22" s="23" t="n">
        <f aca="false">IF(AND(S$8&gt;=$E22,S$8&lt;=$F22),$D22/($F22-$E22+1),"")</f>
        <v>0.144487238389904</v>
      </c>
      <c r="T22" s="23" t="n">
        <f aca="false">IF(AND(T$8&gt;=$E22,T$8&lt;=$F22),$D22/($F22-$E22+1),"")</f>
        <v>0.144487238389904</v>
      </c>
      <c r="U22" s="23" t="n">
        <f aca="false">IF(AND(U$8&gt;=$E22,U$8&lt;=$F22),$D22/($F22-$E22+1),"")</f>
        <v>0.144487238389904</v>
      </c>
      <c r="V22" s="23" t="n">
        <f aca="false">IF(AND(V$8&gt;=$E22,V$8&lt;=$F22),$D22/($F22-$E22+1),"")</f>
        <v>0.144487238389904</v>
      </c>
      <c r="W22" s="23" t="str">
        <f aca="false">IF(AND(W$8&gt;=$E22,W$8&lt;=$F22),$D22/($F22-$E22+1),"")</f>
        <v/>
      </c>
      <c r="X22" s="23" t="str">
        <f aca="false">IF(AND(X$8&gt;=$E22,X$8&lt;=$F22),$D22/($F22-$E22+1),"")</f>
        <v/>
      </c>
      <c r="Y22" s="23" t="str">
        <f aca="false">IF(AND(Y$8&gt;=$E22,Y$8&lt;=$F22),$D22/($F22-$E22+1),"")</f>
        <v/>
      </c>
      <c r="Z22" s="23" t="str">
        <f aca="false">IF(AND(Z$8&gt;=$E22,Z$8&lt;=$F22),$D22/($F22-$E22+1),"")</f>
        <v/>
      </c>
      <c r="AA22" s="23" t="str">
        <f aca="false">IF(AND(AA$8&gt;=$E22,AA$8&lt;=$F22),$D22/($F22-$E22+1),"")</f>
        <v/>
      </c>
      <c r="AB22" s="18" t="n">
        <f aca="false">ROUND(SUM(G22:AA22)-D22,6)</f>
        <v>0</v>
      </c>
    </row>
    <row r="23" customFormat="false" ht="19.5" hidden="false" customHeight="true" outlineLevel="0" collapsed="false">
      <c r="A23" s="14" t="s">
        <v>44</v>
      </c>
      <c r="B23" s="15" t="s">
        <v>45</v>
      </c>
      <c r="C23" s="14" t="s">
        <v>23</v>
      </c>
      <c r="D23" s="24" t="n">
        <v>2.888550335</v>
      </c>
      <c r="E23" s="22" t="n">
        <v>16</v>
      </c>
      <c r="F23" s="22" t="n">
        <v>19</v>
      </c>
      <c r="G23" s="23" t="str">
        <f aca="false">IF(AND(G$8&gt;=$E23,G$8&lt;=$F23),$D23/($F23-$E23+1),"")</f>
        <v/>
      </c>
      <c r="H23" s="23" t="str">
        <f aca="false">IF(AND(H$8&gt;=$E23,H$8&lt;=$F23),$D23/($F23-$E23+1),"")</f>
        <v/>
      </c>
      <c r="I23" s="23" t="str">
        <f aca="false">IF(AND(I$8&gt;=$E23,I$8&lt;=$F23),$D23/($F23-$E23+1),"")</f>
        <v/>
      </c>
      <c r="J23" s="23" t="str">
        <f aca="false">IF(AND(J$8&gt;=$E23,J$8&lt;=$F23),$D23/($F23-$E23+1),"")</f>
        <v/>
      </c>
      <c r="K23" s="23" t="str">
        <f aca="false">IF(AND(K$8&gt;=$E23,K$8&lt;=$F23),$D23/($F23-$E23+1),"")</f>
        <v/>
      </c>
      <c r="L23" s="23" t="str">
        <f aca="false">IF(AND(L$8&gt;=$E23,L$8&lt;=$F23),$D23/($F23-$E23+1),"")</f>
        <v/>
      </c>
      <c r="M23" s="23" t="str">
        <f aca="false">IF(AND(M$8&gt;=$E23,M$8&lt;=$F23),$D23/($F23-$E23+1),"")</f>
        <v/>
      </c>
      <c r="N23" s="23" t="str">
        <f aca="false">IF(AND(N$8&gt;=$E23,N$8&lt;=$F23),$D23/($F23-$E23+1),"")</f>
        <v/>
      </c>
      <c r="O23" s="23" t="str">
        <f aca="false">IF(AND(O$8&gt;=$E23,O$8&lt;=$F23),$D23/($F23-$E23+1),"")</f>
        <v/>
      </c>
      <c r="P23" s="23" t="str">
        <f aca="false">IF(AND(P$8&gt;=$E23,P$8&lt;=$F23),$D23/($F23-$E23+1),"")</f>
        <v/>
      </c>
      <c r="Q23" s="23" t="str">
        <f aca="false">IF(AND(Q$8&gt;=$E23,Q$8&lt;=$F23),$D23/($F23-$E23+1),"")</f>
        <v/>
      </c>
      <c r="R23" s="23" t="str">
        <f aca="false">IF(AND(R$8&gt;=$E23,R$8&lt;=$F23),$D23/($F23-$E23+1),"")</f>
        <v/>
      </c>
      <c r="S23" s="23" t="str">
        <f aca="false">IF(AND(S$8&gt;=$E23,S$8&lt;=$F23),$D23/($F23-$E23+1),"")</f>
        <v/>
      </c>
      <c r="T23" s="23" t="str">
        <f aca="false">IF(AND(T$8&gt;=$E23,T$8&lt;=$F23),$D23/($F23-$E23+1),"")</f>
        <v/>
      </c>
      <c r="U23" s="23" t="str">
        <f aca="false">IF(AND(U$8&gt;=$E23,U$8&lt;=$F23),$D23/($F23-$E23+1),"")</f>
        <v/>
      </c>
      <c r="V23" s="23" t="n">
        <f aca="false">IF(AND(V$8&gt;=$E23,V$8&lt;=$F23),$D23/($F23-$E23+1),"")</f>
        <v>0.72213758375</v>
      </c>
      <c r="W23" s="23" t="n">
        <f aca="false">IF(AND(W$8&gt;=$E23,W$8&lt;=$F23),$D23/($F23-$E23+1),"")</f>
        <v>0.72213758375</v>
      </c>
      <c r="X23" s="23" t="n">
        <f aca="false">IF(AND(X$8&gt;=$E23,X$8&lt;=$F23),$D23/($F23-$E23+1),"")</f>
        <v>0.72213758375</v>
      </c>
      <c r="Y23" s="23" t="n">
        <f aca="false">IF(AND(Y$8&gt;=$E23,Y$8&lt;=$F23),$D23/($F23-$E23+1),"")</f>
        <v>0.72213758375</v>
      </c>
      <c r="Z23" s="23" t="str">
        <f aca="false">IF(AND(Z$8&gt;=$E23,Z$8&lt;=$F23),$D23/($F23-$E23+1),"")</f>
        <v/>
      </c>
      <c r="AA23" s="23" t="str">
        <f aca="false">IF(AND(AA$8&gt;=$E23,AA$8&lt;=$F23),$D23/($F23-$E23+1),"")</f>
        <v/>
      </c>
      <c r="AB23" s="18" t="n">
        <f aca="false">ROUND(SUM(G23:AA23)-D23,6)</f>
        <v>0</v>
      </c>
    </row>
    <row r="24" customFormat="false" ht="19.5" hidden="false" customHeight="true" outlineLevel="0" collapsed="false">
      <c r="A24" s="14" t="s">
        <v>46</v>
      </c>
      <c r="B24" s="15" t="s">
        <v>47</v>
      </c>
      <c r="C24" s="14" t="s">
        <v>23</v>
      </c>
      <c r="D24" s="24" t="n">
        <v>0.268522155</v>
      </c>
      <c r="E24" s="22" t="n">
        <v>16</v>
      </c>
      <c r="F24" s="22" t="n">
        <v>18</v>
      </c>
      <c r="G24" s="23" t="str">
        <f aca="false">IF(AND(G$8&gt;=$E24,G$8&lt;=$F24),$D24/($F24-$E24+1),"")</f>
        <v/>
      </c>
      <c r="H24" s="23" t="str">
        <f aca="false">IF(AND(H$8&gt;=$E24,H$8&lt;=$F24),$D24/($F24-$E24+1),"")</f>
        <v/>
      </c>
      <c r="I24" s="23" t="str">
        <f aca="false">IF(AND(I$8&gt;=$E24,I$8&lt;=$F24),$D24/($F24-$E24+1),"")</f>
        <v/>
      </c>
      <c r="J24" s="23" t="str">
        <f aca="false">IF(AND(J$8&gt;=$E24,J$8&lt;=$F24),$D24/($F24-$E24+1),"")</f>
        <v/>
      </c>
      <c r="K24" s="23" t="str">
        <f aca="false">IF(AND(K$8&gt;=$E24,K$8&lt;=$F24),$D24/($F24-$E24+1),"")</f>
        <v/>
      </c>
      <c r="L24" s="23" t="str">
        <f aca="false">IF(AND(L$8&gt;=$E24,L$8&lt;=$F24),$D24/($F24-$E24+1),"")</f>
        <v/>
      </c>
      <c r="M24" s="23" t="str">
        <f aca="false">IF(AND(M$8&gt;=$E24,M$8&lt;=$F24),$D24/($F24-$E24+1),"")</f>
        <v/>
      </c>
      <c r="N24" s="23" t="str">
        <f aca="false">IF(AND(N$8&gt;=$E24,N$8&lt;=$F24),$D24/($F24-$E24+1),"")</f>
        <v/>
      </c>
      <c r="O24" s="23" t="str">
        <f aca="false">IF(AND(O$8&gt;=$E24,O$8&lt;=$F24),$D24/($F24-$E24+1),"")</f>
        <v/>
      </c>
      <c r="P24" s="23" t="str">
        <f aca="false">IF(AND(P$8&gt;=$E24,P$8&lt;=$F24),$D24/($F24-$E24+1),"")</f>
        <v/>
      </c>
      <c r="Q24" s="23" t="str">
        <f aca="false">IF(AND(Q$8&gt;=$E24,Q$8&lt;=$F24),$D24/($F24-$E24+1),"")</f>
        <v/>
      </c>
      <c r="R24" s="23" t="str">
        <f aca="false">IF(AND(R$8&gt;=$E24,R$8&lt;=$F24),$D24/($F24-$E24+1),"")</f>
        <v/>
      </c>
      <c r="S24" s="23" t="str">
        <f aca="false">IF(AND(S$8&gt;=$E24,S$8&lt;=$F24),$D24/($F24-$E24+1),"")</f>
        <v/>
      </c>
      <c r="T24" s="23" t="str">
        <f aca="false">IF(AND(T$8&gt;=$E24,T$8&lt;=$F24),$D24/($F24-$E24+1),"")</f>
        <v/>
      </c>
      <c r="U24" s="23" t="str">
        <f aca="false">IF(AND(U$8&gt;=$E24,U$8&lt;=$F24),$D24/($F24-$E24+1),"")</f>
        <v/>
      </c>
      <c r="V24" s="23" t="n">
        <f aca="false">IF(AND(V$8&gt;=$E24,V$8&lt;=$F24),$D24/($F24-$E24+1),"")</f>
        <v>0.089507385</v>
      </c>
      <c r="W24" s="23" t="n">
        <f aca="false">IF(AND(W$8&gt;=$E24,W$8&lt;=$F24),$D24/($F24-$E24+1),"")</f>
        <v>0.089507385</v>
      </c>
      <c r="X24" s="23" t="n">
        <f aca="false">IF(AND(X$8&gt;=$E24,X$8&lt;=$F24),$D24/($F24-$E24+1),"")</f>
        <v>0.089507385</v>
      </c>
      <c r="Y24" s="23" t="str">
        <f aca="false">IF(AND(Y$8&gt;=$E24,Y$8&lt;=$F24),$D24/($F24-$E24+1),"")</f>
        <v/>
      </c>
      <c r="Z24" s="23" t="str">
        <f aca="false">IF(AND(Z$8&gt;=$E24,Z$8&lt;=$F24),$D24/($F24-$E24+1),"")</f>
        <v/>
      </c>
      <c r="AA24" s="23" t="str">
        <f aca="false">IF(AND(AA$8&gt;=$E24,AA$8&lt;=$F24),$D24/($F24-$E24+1),"")</f>
        <v/>
      </c>
      <c r="AB24" s="18" t="n">
        <f aca="false">ROUND(SUM(G24:AA24)-D24,6)</f>
        <v>0</v>
      </c>
    </row>
    <row r="25" customFormat="false" ht="30" hidden="false" customHeight="true" outlineLevel="0" collapsed="false">
      <c r="A25" s="14" t="s">
        <v>48</v>
      </c>
      <c r="B25" s="15" t="s">
        <v>49</v>
      </c>
      <c r="C25" s="14" t="s">
        <v>23</v>
      </c>
      <c r="D25" s="24" t="n">
        <v>1.4701002525</v>
      </c>
      <c r="E25" s="22" t="n">
        <v>16</v>
      </c>
      <c r="F25" s="22" t="n">
        <v>19</v>
      </c>
      <c r="G25" s="23" t="str">
        <f aca="false">IF(AND(G$8&gt;=$E25,G$8&lt;=$F25),$D25/($F25-$E25+1),"")</f>
        <v/>
      </c>
      <c r="H25" s="23" t="str">
        <f aca="false">IF(AND(H$8&gt;=$E25,H$8&lt;=$F25),$D25/($F25-$E25+1),"")</f>
        <v/>
      </c>
      <c r="I25" s="23" t="str">
        <f aca="false">IF(AND(I$8&gt;=$E25,I$8&lt;=$F25),$D25/($F25-$E25+1),"")</f>
        <v/>
      </c>
      <c r="J25" s="23" t="str">
        <f aca="false">IF(AND(J$8&gt;=$E25,J$8&lt;=$F25),$D25/($F25-$E25+1),"")</f>
        <v/>
      </c>
      <c r="K25" s="23" t="str">
        <f aca="false">IF(AND(K$8&gt;=$E25,K$8&lt;=$F25),$D25/($F25-$E25+1),"")</f>
        <v/>
      </c>
      <c r="L25" s="23" t="str">
        <f aca="false">IF(AND(L$8&gt;=$E25,L$8&lt;=$F25),$D25/($F25-$E25+1),"")</f>
        <v/>
      </c>
      <c r="M25" s="23" t="str">
        <f aca="false">IF(AND(M$8&gt;=$E25,M$8&lt;=$F25),$D25/($F25-$E25+1),"")</f>
        <v/>
      </c>
      <c r="N25" s="23" t="str">
        <f aca="false">IF(AND(N$8&gt;=$E25,N$8&lt;=$F25),$D25/($F25-$E25+1),"")</f>
        <v/>
      </c>
      <c r="O25" s="23" t="str">
        <f aca="false">IF(AND(O$8&gt;=$E25,O$8&lt;=$F25),$D25/($F25-$E25+1),"")</f>
        <v/>
      </c>
      <c r="P25" s="23" t="str">
        <f aca="false">IF(AND(P$8&gt;=$E25,P$8&lt;=$F25),$D25/($F25-$E25+1),"")</f>
        <v/>
      </c>
      <c r="Q25" s="23" t="str">
        <f aca="false">IF(AND(Q$8&gt;=$E25,Q$8&lt;=$F25),$D25/($F25-$E25+1),"")</f>
        <v/>
      </c>
      <c r="R25" s="23" t="str">
        <f aca="false">IF(AND(R$8&gt;=$E25,R$8&lt;=$F25),$D25/($F25-$E25+1),"")</f>
        <v/>
      </c>
      <c r="S25" s="23" t="str">
        <f aca="false">IF(AND(S$8&gt;=$E25,S$8&lt;=$F25),$D25/($F25-$E25+1),"")</f>
        <v/>
      </c>
      <c r="T25" s="23" t="str">
        <f aca="false">IF(AND(T$8&gt;=$E25,T$8&lt;=$F25),$D25/($F25-$E25+1),"")</f>
        <v/>
      </c>
      <c r="U25" s="23" t="str">
        <f aca="false">IF(AND(U$8&gt;=$E25,U$8&lt;=$F25),$D25/($F25-$E25+1),"")</f>
        <v/>
      </c>
      <c r="V25" s="23" t="n">
        <f aca="false">IF(AND(V$8&gt;=$E25,V$8&lt;=$F25),$D25/($F25-$E25+1),"")</f>
        <v>0.367525063125</v>
      </c>
      <c r="W25" s="23" t="n">
        <f aca="false">IF(AND(W$8&gt;=$E25,W$8&lt;=$F25),$D25/($F25-$E25+1),"")</f>
        <v>0.367525063125</v>
      </c>
      <c r="X25" s="23" t="n">
        <f aca="false">IF(AND(X$8&gt;=$E25,X$8&lt;=$F25),$D25/($F25-$E25+1),"")</f>
        <v>0.367525063125</v>
      </c>
      <c r="Y25" s="23" t="n">
        <f aca="false">IF(AND(Y$8&gt;=$E25,Y$8&lt;=$F25),$D25/($F25-$E25+1),"")</f>
        <v>0.367525063125</v>
      </c>
      <c r="Z25" s="23" t="str">
        <f aca="false">IF(AND(Z$8&gt;=$E25,Z$8&lt;=$F25),$D25/($F25-$E25+1),"")</f>
        <v/>
      </c>
      <c r="AA25" s="23" t="str">
        <f aca="false">IF(AND(AA$8&gt;=$E25,AA$8&lt;=$F25),$D25/($F25-$E25+1),"")</f>
        <v/>
      </c>
      <c r="AB25" s="18" t="n">
        <f aca="false">ROUND(SUM(G25:AA25)-D25,6)</f>
        <v>0</v>
      </c>
    </row>
    <row r="26" customFormat="false" ht="19.5" hidden="false" customHeight="true" outlineLevel="0" collapsed="false">
      <c r="A26" s="14" t="s">
        <v>50</v>
      </c>
      <c r="B26" s="15" t="s">
        <v>51</v>
      </c>
      <c r="C26" s="14" t="s">
        <v>23</v>
      </c>
      <c r="D26" s="24" t="n">
        <v>0.383515</v>
      </c>
      <c r="E26" s="22" t="n">
        <v>19</v>
      </c>
      <c r="F26" s="22" t="n">
        <v>21</v>
      </c>
      <c r="G26" s="23" t="str">
        <f aca="false">IF(AND(G$8&gt;=$E26,G$8&lt;=$F26),$D26/($F26-$E26+1),"")</f>
        <v/>
      </c>
      <c r="H26" s="23" t="str">
        <f aca="false">IF(AND(H$8&gt;=$E26,H$8&lt;=$F26),$D26/($F26-$E26+1),"")</f>
        <v/>
      </c>
      <c r="I26" s="23" t="str">
        <f aca="false">IF(AND(I$8&gt;=$E26,I$8&lt;=$F26),$D26/($F26-$E26+1),"")</f>
        <v/>
      </c>
      <c r="J26" s="23" t="str">
        <f aca="false">IF(AND(J$8&gt;=$E26,J$8&lt;=$F26),$D26/($F26-$E26+1),"")</f>
        <v/>
      </c>
      <c r="K26" s="23" t="str">
        <f aca="false">IF(AND(K$8&gt;=$E26,K$8&lt;=$F26),$D26/($F26-$E26+1),"")</f>
        <v/>
      </c>
      <c r="L26" s="23" t="str">
        <f aca="false">IF(AND(L$8&gt;=$E26,L$8&lt;=$F26),$D26/($F26-$E26+1),"")</f>
        <v/>
      </c>
      <c r="M26" s="23" t="str">
        <f aca="false">IF(AND(M$8&gt;=$E26,M$8&lt;=$F26),$D26/($F26-$E26+1),"")</f>
        <v/>
      </c>
      <c r="N26" s="23" t="str">
        <f aca="false">IF(AND(N$8&gt;=$E26,N$8&lt;=$F26),$D26/($F26-$E26+1),"")</f>
        <v/>
      </c>
      <c r="O26" s="23" t="str">
        <f aca="false">IF(AND(O$8&gt;=$E26,O$8&lt;=$F26),$D26/($F26-$E26+1),"")</f>
        <v/>
      </c>
      <c r="P26" s="23" t="str">
        <f aca="false">IF(AND(P$8&gt;=$E26,P$8&lt;=$F26),$D26/($F26-$E26+1),"")</f>
        <v/>
      </c>
      <c r="Q26" s="23" t="str">
        <f aca="false">IF(AND(Q$8&gt;=$E26,Q$8&lt;=$F26),$D26/($F26-$E26+1),"")</f>
        <v/>
      </c>
      <c r="R26" s="23" t="str">
        <f aca="false">IF(AND(R$8&gt;=$E26,R$8&lt;=$F26),$D26/($F26-$E26+1),"")</f>
        <v/>
      </c>
      <c r="S26" s="23" t="str">
        <f aca="false">IF(AND(S$8&gt;=$E26,S$8&lt;=$F26),$D26/($F26-$E26+1),"")</f>
        <v/>
      </c>
      <c r="T26" s="23" t="str">
        <f aca="false">IF(AND(T$8&gt;=$E26,T$8&lt;=$F26),$D26/($F26-$E26+1),"")</f>
        <v/>
      </c>
      <c r="U26" s="23" t="str">
        <f aca="false">IF(AND(U$8&gt;=$E26,U$8&lt;=$F26),$D26/($F26-$E26+1),"")</f>
        <v/>
      </c>
      <c r="V26" s="23" t="str">
        <f aca="false">IF(AND(V$8&gt;=$E26,V$8&lt;=$F26),$D26/($F26-$E26+1),"")</f>
        <v/>
      </c>
      <c r="W26" s="23" t="str">
        <f aca="false">IF(AND(W$8&gt;=$E26,W$8&lt;=$F26),$D26/($F26-$E26+1),"")</f>
        <v/>
      </c>
      <c r="X26" s="23" t="str">
        <f aca="false">IF(AND(X$8&gt;=$E26,X$8&lt;=$F26),$D26/($F26-$E26+1),"")</f>
        <v/>
      </c>
      <c r="Y26" s="23" t="n">
        <f aca="false">IF(AND(Y$8&gt;=$E26,Y$8&lt;=$F26),$D26/($F26-$E26+1),"")</f>
        <v>0.127838333333333</v>
      </c>
      <c r="Z26" s="23" t="n">
        <f aca="false">IF(AND(Z$8&gt;=$E26,Z$8&lt;=$F26),$D26/($F26-$E26+1),"")</f>
        <v>0.127838333333333</v>
      </c>
      <c r="AA26" s="23" t="n">
        <f aca="false">IF(AND(AA$8&gt;=$E26,AA$8&lt;=$F26),$D26/($F26-$E26+1),"")</f>
        <v>0.127838333333333</v>
      </c>
      <c r="AB26" s="18" t="n">
        <f aca="false">ROUND(SUM(G26:AA26)-D26,6)</f>
        <v>0</v>
      </c>
    </row>
    <row r="27" customFormat="false" ht="15" hidden="false" customHeight="true" outlineLevel="0" collapsed="false">
      <c r="A27" s="25" t="s">
        <v>52</v>
      </c>
      <c r="B27" s="25"/>
      <c r="C27" s="25"/>
      <c r="D27" s="26" t="n">
        <f aca="false">SUM(D12,D13,D14,D15,D16,D17,D18,D19,D20,D21,D22,D23,D24,D25,D26)</f>
        <v>76.0685972017861</v>
      </c>
      <c r="E27" s="27"/>
      <c r="F27" s="27"/>
      <c r="G27" s="28" t="n">
        <f aca="false">SUM(G12,G13,G14,G15,G16,G17,G18,G19,G20,G21,G22,G23,G24,G25,G26)</f>
        <v>0</v>
      </c>
      <c r="H27" s="28" t="n">
        <f aca="false">SUM(H12,H13,H14,H15,H16,H17,H18,H19,H20,H21,H22,H23,H24,H25,H26)</f>
        <v>2.88505725422147</v>
      </c>
      <c r="I27" s="28" t="n">
        <f aca="false">SUM(I12,I13,I14,I15,I16,I17,I18,I19,I20,I21,I22,I23,I24,I25,I26)</f>
        <v>2.88505725422147</v>
      </c>
      <c r="J27" s="28" t="n">
        <f aca="false">SUM(J12,J13,J14,J15,J16,J17,J18,J19,J20,J21,J22,J23,J24,J25,J26)</f>
        <v>3.14539671833269</v>
      </c>
      <c r="K27" s="28" t="n">
        <f aca="false">SUM(K12,K13,K14,K15,K16,K17,K18,K19,K20,K21,K22,K23,K24,K25,K26)</f>
        <v>3.14539671833269</v>
      </c>
      <c r="L27" s="28" t="n">
        <f aca="false">SUM(L12,L13,L14,L15,L16,L17,L18,L19,L20,L21,L22,L23,L24,L25,L26)</f>
        <v>3.28988395672259</v>
      </c>
      <c r="M27" s="28" t="n">
        <f aca="false">SUM(M12,M13,M14,M15,M16,M17,M18,M19,M20,M21,M22,M23,M24,M25,M26)</f>
        <v>3.37133084692391</v>
      </c>
      <c r="N27" s="28" t="n">
        <f aca="false">SUM(N12,N13,N14,N15,N16,N17,N18,N19,N20,N21,N22,N23,N24,N25,N26)</f>
        <v>3.57200577357381</v>
      </c>
      <c r="O27" s="28" t="n">
        <f aca="false">SUM(O12,O13,O14,O15,O16,O17,O18,O19,O20,O21,O22,O23,O24,O25,O26)</f>
        <v>4.20302310714654</v>
      </c>
      <c r="P27" s="28" t="n">
        <f aca="false">SUM(P12,P13,P14,P15,P16,P17,P18,P19,P20,P21,P22,P23,P24,P25,P26)</f>
        <v>4.20302310714654</v>
      </c>
      <c r="Q27" s="28" t="n">
        <f aca="false">SUM(Q12,Q13,Q14,Q15,Q16,Q17,Q18,Q19,Q20,Q21,Q22,Q23,Q24,Q25,Q26)</f>
        <v>6.11699688420864</v>
      </c>
      <c r="R27" s="28" t="n">
        <f aca="false">SUM(R12,R13,R14,R15,R16,R17,R18,R19,R20,R21,R22,R23,R24,R25,R26)</f>
        <v>6.46177467206975</v>
      </c>
      <c r="S27" s="28" t="n">
        <f aca="false">SUM(S12,S13,S14,S15,S16,S17,S18,S19,S20,S21,S22,S23,S24,S25,S26)</f>
        <v>5.44019056843481</v>
      </c>
      <c r="T27" s="28" t="n">
        <f aca="false">SUM(T12,T13,T14,T15,T16,T17,T18,T19,T20,T21,T22,T23,T24,T25,T26)</f>
        <v>3.48005936070134</v>
      </c>
      <c r="U27" s="28" t="n">
        <f aca="false">SUM(U12,U13,U14,U15,U16,U17,U18,U19,U20,U21,U22,U23,U24,U25,U26)</f>
        <v>3.48005936070134</v>
      </c>
      <c r="V27" s="28" t="n">
        <f aca="false">SUM(V12,V13,V14,V15,V16,V17,V18,V19,V20,V21,V22,V23,V24,V25,V26)</f>
        <v>4.57778250237502</v>
      </c>
      <c r="W27" s="28" t="n">
        <f aca="false">SUM(W12,W13,W14,W15,W16,W17,W18,W19,W20,W21,W22,W23,W24,W25,W26)</f>
        <v>4.43329526398512</v>
      </c>
      <c r="X27" s="28" t="n">
        <f aca="false">SUM(X12,X13,X14,X15,X16,X17,X18,X19,X20,X21,X22,X23,X24,X25,X26)</f>
        <v>4.23262033733522</v>
      </c>
      <c r="Y27" s="28" t="n">
        <f aca="false">SUM(Y12,Y13,Y14,Y15,Y16,Y17,Y18,Y19,Y20,Y21,Y22,Y23,Y24,Y25,Y26)</f>
        <v>4.27095128566856</v>
      </c>
      <c r="Z27" s="28" t="n">
        <f aca="false">SUM(Z12,Z13,Z14,Z15,Z16,Z17,Z18,Z19,Z20,Z21,Z22,Z23,Z24,Z25,Z26)</f>
        <v>1.60973500877287</v>
      </c>
      <c r="AA27" s="28" t="n">
        <f aca="false">SUM(AA12,AA13,AA14,AA15,AA16,AA17,AA18,AA19,AA20,AA21,AA22,AA23,AA24,AA25,AA26)</f>
        <v>1.26495722091176</v>
      </c>
      <c r="AB27" s="29" t="n">
        <f aca="false">ROUND(SUM(G27:AA27)-D27,6)</f>
        <v>0</v>
      </c>
    </row>
    <row r="28" customFormat="false" ht="15" hidden="false" customHeight="true" outlineLevel="0" collapsed="false">
      <c r="A28" s="25" t="s">
        <v>53</v>
      </c>
      <c r="B28" s="25"/>
      <c r="C28" s="25"/>
      <c r="D28" s="26" t="n">
        <f aca="false">D27</f>
        <v>76.0685972017861</v>
      </c>
      <c r="E28" s="27"/>
      <c r="F28" s="27"/>
      <c r="G28" s="28" t="n">
        <f aca="false">G27</f>
        <v>0</v>
      </c>
      <c r="H28" s="28" t="n">
        <f aca="false">G28+H27</f>
        <v>2.88505725422147</v>
      </c>
      <c r="I28" s="28" t="n">
        <f aca="false">H28+I27</f>
        <v>5.77011450844293</v>
      </c>
      <c r="J28" s="28" t="n">
        <f aca="false">I28+J27</f>
        <v>8.91551122677562</v>
      </c>
      <c r="K28" s="28" t="n">
        <f aca="false">J28+K27</f>
        <v>12.0609079451083</v>
      </c>
      <c r="L28" s="28" t="n">
        <f aca="false">K28+L27</f>
        <v>15.3507919018309</v>
      </c>
      <c r="M28" s="28" t="n">
        <f aca="false">L28+M27</f>
        <v>18.7221227487548</v>
      </c>
      <c r="N28" s="28" t="n">
        <f aca="false">M28+N27</f>
        <v>22.2941285223286</v>
      </c>
      <c r="O28" s="28" t="n">
        <f aca="false">N28+O27</f>
        <v>26.4971516294752</v>
      </c>
      <c r="P28" s="28" t="n">
        <f aca="false">O28+P27</f>
        <v>30.7001747366217</v>
      </c>
      <c r="Q28" s="28" t="n">
        <f aca="false">P28+Q27</f>
        <v>36.8171716208303</v>
      </c>
      <c r="R28" s="28" t="n">
        <f aca="false">Q28+R27</f>
        <v>43.2789462929001</v>
      </c>
      <c r="S28" s="28" t="n">
        <f aca="false">R28+S27</f>
        <v>48.7191368613349</v>
      </c>
      <c r="T28" s="28" t="n">
        <f aca="false">S28+T27</f>
        <v>52.1991962220362</v>
      </c>
      <c r="U28" s="28" t="n">
        <f aca="false">T28+U27</f>
        <v>55.6792555827376</v>
      </c>
      <c r="V28" s="28" t="n">
        <f aca="false">U28+V27</f>
        <v>60.2570380851126</v>
      </c>
      <c r="W28" s="28" t="n">
        <f aca="false">V28+W27</f>
        <v>64.6903333490977</v>
      </c>
      <c r="X28" s="28" t="n">
        <f aca="false">W28+X27</f>
        <v>68.9229536864329</v>
      </c>
      <c r="Y28" s="28" t="n">
        <f aca="false">X28+Y27</f>
        <v>73.1939049721015</v>
      </c>
      <c r="Z28" s="28" t="n">
        <f aca="false">Y28+Z27</f>
        <v>74.8036399808744</v>
      </c>
      <c r="AA28" s="28" t="n">
        <f aca="false">Z28+AA27</f>
        <v>76.0685972017861</v>
      </c>
      <c r="AB28" s="27"/>
    </row>
    <row r="29" customFormat="false" ht="15" hidden="false" customHeight="true" outlineLevel="0" collapsed="false">
      <c r="A29" s="25" t="s">
        <v>54</v>
      </c>
      <c r="B29" s="25"/>
      <c r="C29" s="25"/>
      <c r="D29" s="30" t="n">
        <f aca="false">D27/D27</f>
        <v>1</v>
      </c>
      <c r="E29" s="27"/>
      <c r="F29" s="27"/>
      <c r="G29" s="31" t="n">
        <f aca="false">G27/$D$27</f>
        <v>0</v>
      </c>
      <c r="H29" s="31" t="n">
        <f aca="false">H27/$D$27</f>
        <v>0.0379270469069952</v>
      </c>
      <c r="I29" s="31" t="n">
        <f aca="false">I27/$D$27</f>
        <v>0.0379270469069952</v>
      </c>
      <c r="J29" s="31" t="n">
        <f aca="false">J27/$D$27</f>
        <v>0.0413494771040531</v>
      </c>
      <c r="K29" s="31" t="n">
        <f aca="false">K27/$D$27</f>
        <v>0.0413494771040531</v>
      </c>
      <c r="L29" s="31" t="n">
        <f aca="false">L27/$D$27</f>
        <v>0.0432489105589204</v>
      </c>
      <c r="M29" s="31" t="n">
        <f aca="false">M27/$D$27</f>
        <v>0.0443196137557372</v>
      </c>
      <c r="N29" s="31" t="n">
        <f aca="false">N27/$D$27</f>
        <v>0.0469576922011379</v>
      </c>
      <c r="O29" s="31" t="n">
        <f aca="false">O27/$D$27</f>
        <v>0.0552530644938441</v>
      </c>
      <c r="P29" s="31" t="n">
        <f aca="false">P27/$D$27</f>
        <v>0.0552530644938441</v>
      </c>
      <c r="Q29" s="31" t="n">
        <f aca="false">Q27/$D$27</f>
        <v>0.0804142196546909</v>
      </c>
      <c r="R29" s="31" t="n">
        <f aca="false">R27/$D$27</f>
        <v>0.0849466785213442</v>
      </c>
      <c r="S29" s="31" t="n">
        <f aca="false">S27/$D$27</f>
        <v>0.0715169040649414</v>
      </c>
      <c r="T29" s="31" t="n">
        <f aca="false">T27/$D$27</f>
        <v>0.0457489619727026</v>
      </c>
      <c r="U29" s="31" t="n">
        <f aca="false">U27/$D$27</f>
        <v>0.0457489619727026</v>
      </c>
      <c r="V29" s="31" t="n">
        <f aca="false">V27/$D$27</f>
        <v>0.0601796624464048</v>
      </c>
      <c r="W29" s="31" t="n">
        <f aca="false">W27/$D$27</f>
        <v>0.0582802289915374</v>
      </c>
      <c r="X29" s="31" t="n">
        <f aca="false">X27/$D$27</f>
        <v>0.0556421505461368</v>
      </c>
      <c r="Y29" s="31" t="n">
        <f aca="false">Y27/$D$27</f>
        <v>0.0561460503121815</v>
      </c>
      <c r="Z29" s="31" t="n">
        <f aca="false">Z27/$D$27</f>
        <v>0.0211616234292155</v>
      </c>
      <c r="AA29" s="31" t="n">
        <f aca="false">AA27/$D$27</f>
        <v>0.0166291645625622</v>
      </c>
      <c r="AB29" s="27"/>
    </row>
    <row r="30" customFormat="false" ht="15" hidden="false" customHeight="true" outlineLevel="0" collapsed="false">
      <c r="A30" s="25" t="s">
        <v>55</v>
      </c>
      <c r="B30" s="25"/>
      <c r="C30" s="25"/>
      <c r="D30" s="30" t="n">
        <f aca="false">D29</f>
        <v>1</v>
      </c>
      <c r="E30" s="27"/>
      <c r="F30" s="27"/>
      <c r="G30" s="31" t="n">
        <f aca="false">G28/$D$27</f>
        <v>0</v>
      </c>
      <c r="H30" s="31" t="n">
        <f aca="false">H28/$D$27</f>
        <v>0.0379270469069952</v>
      </c>
      <c r="I30" s="31" t="n">
        <f aca="false">I28/$D$27</f>
        <v>0.0758540938139904</v>
      </c>
      <c r="J30" s="31" t="n">
        <f aca="false">J28/$D$27</f>
        <v>0.117203570918043</v>
      </c>
      <c r="K30" s="31" t="n">
        <f aca="false">K28/$D$27</f>
        <v>0.158553048022097</v>
      </c>
      <c r="L30" s="31" t="n">
        <f aca="false">L28/$D$27</f>
        <v>0.201801958581017</v>
      </c>
      <c r="M30" s="31" t="n">
        <f aca="false">M28/$D$27</f>
        <v>0.246121572336754</v>
      </c>
      <c r="N30" s="31" t="n">
        <f aca="false">N28/$D$27</f>
        <v>0.293079264537892</v>
      </c>
      <c r="O30" s="31" t="n">
        <f aca="false">O28/$D$27</f>
        <v>0.348332329031736</v>
      </c>
      <c r="P30" s="31" t="n">
        <f aca="false">P28/$D$27</f>
        <v>0.40358539352558</v>
      </c>
      <c r="Q30" s="31" t="n">
        <f aca="false">Q28/$D$27</f>
        <v>0.483999613180271</v>
      </c>
      <c r="R30" s="31" t="n">
        <f aca="false">R28/$D$27</f>
        <v>0.568946291701615</v>
      </c>
      <c r="S30" s="31" t="n">
        <f aca="false">S28/$D$27</f>
        <v>0.640463195766557</v>
      </c>
      <c r="T30" s="31" t="n">
        <f aca="false">T28/$D$27</f>
        <v>0.686212157739259</v>
      </c>
      <c r="U30" s="31" t="n">
        <f aca="false">U28/$D$27</f>
        <v>0.731961119711962</v>
      </c>
      <c r="V30" s="31" t="n">
        <f aca="false">V28/$D$27</f>
        <v>0.792140782158367</v>
      </c>
      <c r="W30" s="31" t="n">
        <f aca="false">W28/$D$27</f>
        <v>0.850421011149904</v>
      </c>
      <c r="X30" s="31" t="n">
        <f aca="false">X28/$D$27</f>
        <v>0.906063161696041</v>
      </c>
      <c r="Y30" s="31" t="n">
        <f aca="false">Y28/$D$27</f>
        <v>0.962209212008222</v>
      </c>
      <c r="Z30" s="31" t="n">
        <f aca="false">Z28/$D$27</f>
        <v>0.983370835437438</v>
      </c>
      <c r="AA30" s="31" t="n">
        <f aca="false">AA28/$D$27</f>
        <v>1</v>
      </c>
      <c r="AB30" s="27"/>
    </row>
    <row r="32" customFormat="false" ht="15" hidden="false" customHeight="true" outlineLevel="0" collapsed="false">
      <c r="A32" s="32" t="s">
        <v>56</v>
      </c>
      <c r="B32" s="32"/>
      <c r="C32" s="32"/>
      <c r="D32" s="32"/>
      <c r="E32" s="32"/>
      <c r="F32" s="32"/>
      <c r="G32" s="32"/>
      <c r="H32" s="32"/>
      <c r="I32" s="32"/>
      <c r="J32" s="32"/>
      <c r="K32" s="32"/>
      <c r="L32" s="32"/>
      <c r="M32" s="32"/>
      <c r="N32" s="32"/>
      <c r="O32" s="32"/>
      <c r="P32" s="32"/>
      <c r="Q32" s="32"/>
      <c r="R32" s="32"/>
      <c r="S32" s="32"/>
      <c r="T32" s="32"/>
      <c r="U32" s="32"/>
      <c r="V32" s="32"/>
      <c r="W32" s="32"/>
      <c r="X32" s="32"/>
      <c r="Y32" s="32"/>
      <c r="Z32" s="32"/>
      <c r="AA32" s="32"/>
      <c r="AB32" s="32"/>
    </row>
    <row r="33" customFormat="false" ht="15" hidden="false" customHeight="true" outlineLevel="0" collapsed="false">
      <c r="A33" s="33" t="s">
        <v>57</v>
      </c>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row>
    <row r="34" customFormat="false" ht="15" hidden="false" customHeight="true" outlineLevel="0" collapsed="false">
      <c r="A34" s="33" t="s">
        <v>58</v>
      </c>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row>
    <row r="35" customFormat="false" ht="15" hidden="false" customHeight="true" outlineLevel="0" collapsed="false">
      <c r="A35" s="33" t="s">
        <v>59</v>
      </c>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row>
    <row r="36" customFormat="false" ht="15" hidden="false" customHeight="true" outlineLevel="0" collapsed="false">
      <c r="A36" s="33" t="s">
        <v>60</v>
      </c>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row>
  </sheetData>
  <mergeCells count="33">
    <mergeCell ref="A1:AB1"/>
    <mergeCell ref="A2:AB2"/>
    <mergeCell ref="A4:C4"/>
    <mergeCell ref="D4:E4"/>
    <mergeCell ref="G4:I4"/>
    <mergeCell ref="K4:M4"/>
    <mergeCell ref="O4:Q4"/>
    <mergeCell ref="R4:S4"/>
    <mergeCell ref="U4:W4"/>
    <mergeCell ref="A6:A10"/>
    <mergeCell ref="B6:B10"/>
    <mergeCell ref="C6:C10"/>
    <mergeCell ref="D6:D10"/>
    <mergeCell ref="E6:E10"/>
    <mergeCell ref="F6:F10"/>
    <mergeCell ref="G6:AA6"/>
    <mergeCell ref="AB6:AB10"/>
    <mergeCell ref="G7:I7"/>
    <mergeCell ref="J7:L7"/>
    <mergeCell ref="M7:O7"/>
    <mergeCell ref="P7:R7"/>
    <mergeCell ref="S7:U7"/>
    <mergeCell ref="V7:X7"/>
    <mergeCell ref="Y7:AA7"/>
    <mergeCell ref="A27:C27"/>
    <mergeCell ref="A28:C28"/>
    <mergeCell ref="A29:C29"/>
    <mergeCell ref="A30:C30"/>
    <mergeCell ref="A32:AB32"/>
    <mergeCell ref="A33:AB33"/>
    <mergeCell ref="A34:AB34"/>
    <mergeCell ref="A35:AB35"/>
    <mergeCell ref="A36:AB36"/>
  </mergeCells>
  <printOptions headings="false" gridLines="false" gridLinesSet="true" horizontalCentered="true" verticalCentered="false"/>
  <pageMargins left="0.3" right="0.3"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3" min="2" style="0" width="13"/>
    <col collapsed="false" customWidth="true" hidden="false" outlineLevel="0" max="4" min="4" style="0" width="16"/>
    <col collapsed="false" customWidth="true" hidden="false" outlineLevel="0" max="6" min="5" style="0" width="20"/>
    <col collapsed="false" customWidth="true" hidden="false" outlineLevel="0" max="7" min="7" style="0" width="10"/>
    <col collapsed="false" customWidth="true" hidden="false" outlineLevel="0" max="8" min="8" style="0" width="11"/>
  </cols>
  <sheetData>
    <row r="1" customFormat="false" ht="17.35" hidden="false" customHeight="true" outlineLevel="0" collapsed="false">
      <c r="A1" s="1" t="s">
        <v>61</v>
      </c>
      <c r="B1" s="1"/>
      <c r="C1" s="1"/>
      <c r="D1" s="1"/>
      <c r="E1" s="1"/>
      <c r="F1" s="1"/>
      <c r="G1" s="1"/>
      <c r="H1" s="1"/>
    </row>
    <row r="2" customFormat="false" ht="15" hidden="false" customHeight="false" outlineLevel="0" collapsed="false">
      <c r="A2" s="34" t="str">
        <f aca="false">"Khởi công: "&amp;TEXT('Tien do giai ngan'!D4,"dd/mm/yyyy")&amp;" - Hoàn thành: "&amp;TEXT('Tien do giai ngan'!R4,"dd/mm/yyyy")&amp;" - Tiến độ: "&amp;'Tien do giai ngan'!J4&amp;" ngày"</f>
        <v>Khởi công: 12/08/2026 - Hoàn thành: 09/03/2027 - Tiến độ: 210 ngày</v>
      </c>
      <c r="B2" s="34"/>
      <c r="C2" s="34"/>
      <c r="D2" s="34"/>
      <c r="E2" s="34"/>
      <c r="F2" s="34"/>
      <c r="G2" s="34"/>
      <c r="H2" s="34"/>
    </row>
    <row r="4" customFormat="false" ht="45" hidden="false" customHeight="true" outlineLevel="0" collapsed="false">
      <c r="A4" s="9" t="s">
        <v>62</v>
      </c>
      <c r="B4" s="9" t="s">
        <v>63</v>
      </c>
      <c r="C4" s="9" t="s">
        <v>64</v>
      </c>
      <c r="D4" s="9" t="s">
        <v>65</v>
      </c>
      <c r="E4" s="9" t="s">
        <v>66</v>
      </c>
      <c r="F4" s="9" t="s">
        <v>67</v>
      </c>
      <c r="G4" s="9" t="s">
        <v>68</v>
      </c>
      <c r="H4" s="9" t="s">
        <v>69</v>
      </c>
    </row>
    <row r="5" customFormat="false" ht="15" hidden="false" customHeight="false" outlineLevel="0" collapsed="false">
      <c r="A5" s="35" t="n">
        <v>1</v>
      </c>
      <c r="B5" s="36" t="n">
        <f aca="false">INDEX('Tien do giai ngan'!$G$9:$AA$9,A5)</f>
        <v>46246</v>
      </c>
      <c r="C5" s="36" t="n">
        <f aca="false">INDEX('Tien do giai ngan'!$G$10:$AA$10,A5)</f>
        <v>46255</v>
      </c>
      <c r="D5" s="37" t="n">
        <f aca="false">INDEX('Tien do giai ngan'!$G$27:$AA$27,A5)</f>
        <v>0</v>
      </c>
      <c r="E5" s="38" t="n">
        <f aca="false">ROUND(D5*10^9,0)</f>
        <v>0</v>
      </c>
      <c r="F5" s="38" t="n">
        <f aca="false">E5</f>
        <v>0</v>
      </c>
      <c r="G5" s="39" t="n">
        <f aca="false">E5/$E$26</f>
        <v>0</v>
      </c>
      <c r="H5" s="39" t="n">
        <f aca="false">F5/$E$26</f>
        <v>0</v>
      </c>
    </row>
    <row r="6" customFormat="false" ht="15" hidden="false" customHeight="false" outlineLevel="0" collapsed="false">
      <c r="A6" s="35" t="n">
        <v>2</v>
      </c>
      <c r="B6" s="36" t="n">
        <f aca="false">INDEX('Tien do giai ngan'!$G$9:$AA$9,A6)</f>
        <v>46256</v>
      </c>
      <c r="C6" s="36" t="n">
        <f aca="false">INDEX('Tien do giai ngan'!$G$10:$AA$10,A6)</f>
        <v>46265</v>
      </c>
      <c r="D6" s="37" t="n">
        <f aca="false">INDEX('Tien do giai ngan'!$G$27:$AA$27,A6)</f>
        <v>2.88505725422147</v>
      </c>
      <c r="E6" s="38" t="n">
        <f aca="false">ROUND(D6*10^9,0)</f>
        <v>2885057254</v>
      </c>
      <c r="F6" s="38" t="n">
        <f aca="false">F5+E6</f>
        <v>2885057254</v>
      </c>
      <c r="G6" s="39" t="n">
        <f aca="false">E6/$E$26</f>
        <v>0.0379270469044758</v>
      </c>
      <c r="H6" s="39" t="n">
        <f aca="false">F6/$E$26</f>
        <v>0.0379270469044758</v>
      </c>
    </row>
    <row r="7" customFormat="false" ht="15" hidden="false" customHeight="false" outlineLevel="0" collapsed="false">
      <c r="A7" s="35" t="n">
        <v>3</v>
      </c>
      <c r="B7" s="36" t="n">
        <f aca="false">INDEX('Tien do giai ngan'!$G$9:$AA$9,A7)</f>
        <v>46266</v>
      </c>
      <c r="C7" s="36" t="n">
        <f aca="false">INDEX('Tien do giai ngan'!$G$10:$AA$10,A7)</f>
        <v>46275</v>
      </c>
      <c r="D7" s="37" t="n">
        <f aca="false">INDEX('Tien do giai ngan'!$G$27:$AA$27,A7)</f>
        <v>2.88505725422147</v>
      </c>
      <c r="E7" s="38" t="n">
        <f aca="false">ROUND(D7*10^9,0)</f>
        <v>2885057254</v>
      </c>
      <c r="F7" s="38" t="n">
        <f aca="false">F6+E7</f>
        <v>5770114508</v>
      </c>
      <c r="G7" s="39" t="n">
        <f aca="false">E7/$E$26</f>
        <v>0.0379270469044758</v>
      </c>
      <c r="H7" s="39" t="n">
        <f aca="false">F7/$E$26</f>
        <v>0.0758540938089515</v>
      </c>
    </row>
    <row r="8" customFormat="false" ht="15" hidden="false" customHeight="false" outlineLevel="0" collapsed="false">
      <c r="A8" s="35" t="n">
        <v>4</v>
      </c>
      <c r="B8" s="36" t="n">
        <f aca="false">INDEX('Tien do giai ngan'!$G$9:$AA$9,A8)</f>
        <v>46276</v>
      </c>
      <c r="C8" s="36" t="n">
        <f aca="false">INDEX('Tien do giai ngan'!$G$10:$AA$10,A8)</f>
        <v>46285</v>
      </c>
      <c r="D8" s="37" t="n">
        <f aca="false">INDEX('Tien do giai ngan'!$G$27:$AA$27,A8)</f>
        <v>3.14539671833269</v>
      </c>
      <c r="E8" s="38" t="n">
        <f aca="false">ROUND(D8*10^9,0)</f>
        <v>3145396718</v>
      </c>
      <c r="F8" s="38" t="n">
        <f aca="false">F7+E8</f>
        <v>8915511226</v>
      </c>
      <c r="G8" s="39" t="n">
        <f aca="false">E8/$E$26</f>
        <v>0.0413494771001068</v>
      </c>
      <c r="H8" s="39" t="n">
        <f aca="false">F8/$E$26</f>
        <v>0.117203570909058</v>
      </c>
    </row>
    <row r="9" customFormat="false" ht="15" hidden="false" customHeight="false" outlineLevel="0" collapsed="false">
      <c r="A9" s="35" t="n">
        <v>5</v>
      </c>
      <c r="B9" s="36" t="n">
        <f aca="false">INDEX('Tien do giai ngan'!$G$9:$AA$9,A9)</f>
        <v>46286</v>
      </c>
      <c r="C9" s="36" t="n">
        <f aca="false">INDEX('Tien do giai ngan'!$G$10:$AA$10,A9)</f>
        <v>46295</v>
      </c>
      <c r="D9" s="37" t="n">
        <f aca="false">INDEX('Tien do giai ngan'!$G$27:$AA$27,A9)</f>
        <v>3.14539671833269</v>
      </c>
      <c r="E9" s="38" t="n">
        <f aca="false">ROUND(D9*10^9,0)</f>
        <v>3145396718</v>
      </c>
      <c r="F9" s="38" t="n">
        <f aca="false">F8+E9</f>
        <v>12060907944</v>
      </c>
      <c r="G9" s="39" t="n">
        <f aca="false">E9/$E$26</f>
        <v>0.0413494771001068</v>
      </c>
      <c r="H9" s="39" t="n">
        <f aca="false">F9/$E$26</f>
        <v>0.158553048009165</v>
      </c>
    </row>
    <row r="10" customFormat="false" ht="15" hidden="false" customHeight="false" outlineLevel="0" collapsed="false">
      <c r="A10" s="35" t="n">
        <v>6</v>
      </c>
      <c r="B10" s="36" t="n">
        <f aca="false">INDEX('Tien do giai ngan'!$G$9:$AA$9,A10)</f>
        <v>46296</v>
      </c>
      <c r="C10" s="36" t="n">
        <f aca="false">INDEX('Tien do giai ngan'!$G$10:$AA$10,A10)</f>
        <v>46305</v>
      </c>
      <c r="D10" s="37" t="n">
        <f aca="false">INDEX('Tien do giai ngan'!$G$27:$AA$27,A10)</f>
        <v>3.28988395672259</v>
      </c>
      <c r="E10" s="38" t="n">
        <f aca="false">ROUND(D10*10^9,0)</f>
        <v>3289883957</v>
      </c>
      <c r="F10" s="38" t="n">
        <f aca="false">F9+E10</f>
        <v>15350791901</v>
      </c>
      <c r="G10" s="39" t="n">
        <f aca="false">E10/$E$26</f>
        <v>0.0432489105630142</v>
      </c>
      <c r="H10" s="39" t="n">
        <f aca="false">F10/$E$26</f>
        <v>0.201801958572179</v>
      </c>
    </row>
    <row r="11" customFormat="false" ht="15" hidden="false" customHeight="false" outlineLevel="0" collapsed="false">
      <c r="A11" s="35" t="n">
        <v>7</v>
      </c>
      <c r="B11" s="36" t="n">
        <f aca="false">INDEX('Tien do giai ngan'!$G$9:$AA$9,A11)</f>
        <v>46306</v>
      </c>
      <c r="C11" s="36" t="n">
        <f aca="false">INDEX('Tien do giai ngan'!$G$10:$AA$10,A11)</f>
        <v>46315</v>
      </c>
      <c r="D11" s="37" t="n">
        <f aca="false">INDEX('Tien do giai ngan'!$G$27:$AA$27,A11)</f>
        <v>3.37133084692391</v>
      </c>
      <c r="E11" s="38" t="n">
        <f aca="false">ROUND(D11*10^9,0)</f>
        <v>3371330847</v>
      </c>
      <c r="F11" s="38" t="n">
        <f aca="false">F10+E11</f>
        <v>18722122748</v>
      </c>
      <c r="G11" s="39" t="n">
        <f aca="false">E11/$E$26</f>
        <v>0.0443196137571955</v>
      </c>
      <c r="H11" s="39" t="n">
        <f aca="false">F11/$E$26</f>
        <v>0.246121572329375</v>
      </c>
    </row>
    <row r="12" customFormat="false" ht="15" hidden="false" customHeight="false" outlineLevel="0" collapsed="false">
      <c r="A12" s="35" t="n">
        <v>8</v>
      </c>
      <c r="B12" s="36" t="n">
        <f aca="false">INDEX('Tien do giai ngan'!$G$9:$AA$9,A12)</f>
        <v>46316</v>
      </c>
      <c r="C12" s="36" t="n">
        <f aca="false">INDEX('Tien do giai ngan'!$G$10:$AA$10,A12)</f>
        <v>46325</v>
      </c>
      <c r="D12" s="37" t="n">
        <f aca="false">INDEX('Tien do giai ngan'!$G$27:$AA$27,A12)</f>
        <v>3.57200577357381</v>
      </c>
      <c r="E12" s="38" t="n">
        <f aca="false">ROUND(D12*10^9,0)</f>
        <v>3572005774</v>
      </c>
      <c r="F12" s="38" t="n">
        <f aca="false">F11+E12</f>
        <v>22294128522</v>
      </c>
      <c r="G12" s="39" t="n">
        <f aca="false">E12/$E$26</f>
        <v>0.0469576922072259</v>
      </c>
      <c r="H12" s="39" t="n">
        <f aca="false">F12/$E$26</f>
        <v>0.293079264536601</v>
      </c>
    </row>
    <row r="13" customFormat="false" ht="15" hidden="false" customHeight="false" outlineLevel="0" collapsed="false">
      <c r="A13" s="35" t="n">
        <v>9</v>
      </c>
      <c r="B13" s="36" t="n">
        <f aca="false">INDEX('Tien do giai ngan'!$G$9:$AA$9,A13)</f>
        <v>46326</v>
      </c>
      <c r="C13" s="36" t="n">
        <f aca="false">INDEX('Tien do giai ngan'!$G$10:$AA$10,A13)</f>
        <v>46335</v>
      </c>
      <c r="D13" s="37" t="n">
        <f aca="false">INDEX('Tien do giai ngan'!$G$27:$AA$27,A13)</f>
        <v>4.20302310714654</v>
      </c>
      <c r="E13" s="38" t="n">
        <f aca="false">ROUND(D13*10^9,0)</f>
        <v>4203023107</v>
      </c>
      <c r="F13" s="38" t="n">
        <f aca="false">F12+E13</f>
        <v>26497151629</v>
      </c>
      <c r="G13" s="39" t="n">
        <f aca="false">E13/$E$26</f>
        <v>0.0552530644924887</v>
      </c>
      <c r="H13" s="39" t="n">
        <f aca="false">F13/$E$26</f>
        <v>0.348332329029089</v>
      </c>
    </row>
    <row r="14" customFormat="false" ht="15" hidden="false" customHeight="false" outlineLevel="0" collapsed="false">
      <c r="A14" s="35" t="n">
        <v>10</v>
      </c>
      <c r="B14" s="36" t="n">
        <f aca="false">INDEX('Tien do giai ngan'!$G$9:$AA$9,A14)</f>
        <v>46336</v>
      </c>
      <c r="C14" s="36" t="n">
        <f aca="false">INDEX('Tien do giai ngan'!$G$10:$AA$10,A14)</f>
        <v>46345</v>
      </c>
      <c r="D14" s="37" t="n">
        <f aca="false">INDEX('Tien do giai ngan'!$G$27:$AA$27,A14)</f>
        <v>4.20302310714654</v>
      </c>
      <c r="E14" s="38" t="n">
        <f aca="false">ROUND(D14*10^9,0)</f>
        <v>4203023107</v>
      </c>
      <c r="F14" s="38" t="n">
        <f aca="false">F13+E14</f>
        <v>30700174736</v>
      </c>
      <c r="G14" s="39" t="n">
        <f aca="false">E14/$E$26</f>
        <v>0.0552530644924887</v>
      </c>
      <c r="H14" s="39" t="n">
        <f aca="false">F14/$E$26</f>
        <v>0.403585393521578</v>
      </c>
    </row>
    <row r="15" customFormat="false" ht="15" hidden="false" customHeight="false" outlineLevel="0" collapsed="false">
      <c r="A15" s="35" t="n">
        <v>11</v>
      </c>
      <c r="B15" s="36" t="n">
        <f aca="false">INDEX('Tien do giai ngan'!$G$9:$AA$9,A15)</f>
        <v>46346</v>
      </c>
      <c r="C15" s="36" t="n">
        <f aca="false">INDEX('Tien do giai ngan'!$G$10:$AA$10,A15)</f>
        <v>46355</v>
      </c>
      <c r="D15" s="37" t="n">
        <f aca="false">INDEX('Tien do giai ngan'!$G$27:$AA$27,A15)</f>
        <v>6.11699688420864</v>
      </c>
      <c r="E15" s="38" t="n">
        <f aca="false">ROUND(D15*10^9,0)</f>
        <v>6116996884</v>
      </c>
      <c r="F15" s="38" t="n">
        <f aca="false">F14+E15</f>
        <v>36817171620</v>
      </c>
      <c r="G15" s="39" t="n">
        <f aca="false">E15/$E$26</f>
        <v>0.0804142196527792</v>
      </c>
      <c r="H15" s="39" t="n">
        <f aca="false">F15/$E$26</f>
        <v>0.483999613174357</v>
      </c>
    </row>
    <row r="16" customFormat="false" ht="15" hidden="false" customHeight="false" outlineLevel="0" collapsed="false">
      <c r="A16" s="35" t="n">
        <v>12</v>
      </c>
      <c r="B16" s="36" t="n">
        <f aca="false">INDEX('Tien do giai ngan'!$G$9:$AA$9,A16)</f>
        <v>46356</v>
      </c>
      <c r="C16" s="36" t="n">
        <f aca="false">INDEX('Tien do giai ngan'!$G$10:$AA$10,A16)</f>
        <v>46365</v>
      </c>
      <c r="D16" s="37" t="n">
        <f aca="false">INDEX('Tien do giai ngan'!$G$27:$AA$27,A16)</f>
        <v>6.46177467206975</v>
      </c>
      <c r="E16" s="38" t="n">
        <f aca="false">ROUND(D16*10^9,0)</f>
        <v>6461774672</v>
      </c>
      <c r="F16" s="38" t="n">
        <f aca="false">F15+E16</f>
        <v>43278946292</v>
      </c>
      <c r="G16" s="39" t="n">
        <f aca="false">E16/$E$26</f>
        <v>0.0849466785213052</v>
      </c>
      <c r="H16" s="39" t="n">
        <f aca="false">F16/$E$26</f>
        <v>0.568946291695663</v>
      </c>
    </row>
    <row r="17" customFormat="false" ht="15" hidden="false" customHeight="false" outlineLevel="0" collapsed="false">
      <c r="A17" s="35" t="n">
        <v>13</v>
      </c>
      <c r="B17" s="36" t="n">
        <f aca="false">INDEX('Tien do giai ngan'!$G$9:$AA$9,A17)</f>
        <v>46366</v>
      </c>
      <c r="C17" s="36" t="n">
        <f aca="false">INDEX('Tien do giai ngan'!$G$10:$AA$10,A17)</f>
        <v>46375</v>
      </c>
      <c r="D17" s="37" t="n">
        <f aca="false">INDEX('Tien do giai ngan'!$G$27:$AA$27,A17)</f>
        <v>5.44019056843481</v>
      </c>
      <c r="E17" s="38" t="n">
        <f aca="false">ROUND(D17*10^9,0)</f>
        <v>5440190568</v>
      </c>
      <c r="F17" s="38" t="n">
        <f aca="false">F16+E17</f>
        <v>48719136860</v>
      </c>
      <c r="G17" s="39" t="n">
        <f aca="false">E17/$E$26</f>
        <v>0.0715169040599645</v>
      </c>
      <c r="H17" s="39" t="n">
        <f aca="false">F17/$E$26</f>
        <v>0.640463195755627</v>
      </c>
    </row>
    <row r="18" customFormat="false" ht="15" hidden="false" customHeight="false" outlineLevel="0" collapsed="false">
      <c r="A18" s="35" t="n">
        <v>14</v>
      </c>
      <c r="B18" s="36" t="n">
        <f aca="false">INDEX('Tien do giai ngan'!$G$9:$AA$9,A18)</f>
        <v>46376</v>
      </c>
      <c r="C18" s="36" t="n">
        <f aca="false">INDEX('Tien do giai ngan'!$G$10:$AA$10,A18)</f>
        <v>46385</v>
      </c>
      <c r="D18" s="37" t="n">
        <f aca="false">INDEX('Tien do giai ngan'!$G$27:$AA$27,A18)</f>
        <v>3.48005936070134</v>
      </c>
      <c r="E18" s="38" t="n">
        <f aca="false">ROUND(D18*10^9,0)</f>
        <v>3480059361</v>
      </c>
      <c r="F18" s="38" t="n">
        <f aca="false">F17+E18</f>
        <v>52199196221</v>
      </c>
      <c r="G18" s="39" t="n">
        <f aca="false">E18/$E$26</f>
        <v>0.0457489619771015</v>
      </c>
      <c r="H18" s="39" t="n">
        <f aca="false">F18/$E$26</f>
        <v>0.686212157732729</v>
      </c>
    </row>
    <row r="19" customFormat="false" ht="15" hidden="false" customHeight="false" outlineLevel="0" collapsed="false">
      <c r="A19" s="35" t="n">
        <v>15</v>
      </c>
      <c r="B19" s="36" t="n">
        <f aca="false">INDEX('Tien do giai ngan'!$G$9:$AA$9,A19)</f>
        <v>46386</v>
      </c>
      <c r="C19" s="36" t="n">
        <f aca="false">INDEX('Tien do giai ngan'!$G$10:$AA$10,A19)</f>
        <v>46395</v>
      </c>
      <c r="D19" s="37" t="n">
        <f aca="false">INDEX('Tien do giai ngan'!$G$27:$AA$27,A19)</f>
        <v>3.48005936070134</v>
      </c>
      <c r="E19" s="38" t="n">
        <f aca="false">ROUND(D19*10^9,0)</f>
        <v>3480059361</v>
      </c>
      <c r="F19" s="38" t="n">
        <f aca="false">F18+E19</f>
        <v>55679255582</v>
      </c>
      <c r="G19" s="39" t="n">
        <f aca="false">E19/$E$26</f>
        <v>0.0457489619771015</v>
      </c>
      <c r="H19" s="39" t="n">
        <f aca="false">F19/$E$26</f>
        <v>0.73196111970983</v>
      </c>
    </row>
    <row r="20" customFormat="false" ht="15" hidden="false" customHeight="false" outlineLevel="0" collapsed="false">
      <c r="A20" s="35" t="n">
        <v>16</v>
      </c>
      <c r="B20" s="36" t="n">
        <f aca="false">INDEX('Tien do giai ngan'!$G$9:$AA$9,A20)</f>
        <v>46396</v>
      </c>
      <c r="C20" s="36" t="n">
        <f aca="false">INDEX('Tien do giai ngan'!$G$10:$AA$10,A20)</f>
        <v>46405</v>
      </c>
      <c r="D20" s="37" t="n">
        <f aca="false">INDEX('Tien do giai ngan'!$G$27:$AA$27,A20)</f>
        <v>4.57778250237502</v>
      </c>
      <c r="E20" s="38" t="n">
        <f aca="false">ROUND(D20*10^9,0)</f>
        <v>4577782502</v>
      </c>
      <c r="F20" s="38" t="n">
        <f aca="false">F19+E20</f>
        <v>60257038084</v>
      </c>
      <c r="G20" s="39" t="n">
        <f aca="false">E20/$E$26</f>
        <v>0.0601796624420967</v>
      </c>
      <c r="H20" s="39" t="n">
        <f aca="false">F20/$E$26</f>
        <v>0.792140782151927</v>
      </c>
    </row>
    <row r="21" customFormat="false" ht="15" hidden="false" customHeight="false" outlineLevel="0" collapsed="false">
      <c r="A21" s="35" t="n">
        <v>17</v>
      </c>
      <c r="B21" s="36" t="n">
        <f aca="false">INDEX('Tien do giai ngan'!$G$9:$AA$9,A21)</f>
        <v>46406</v>
      </c>
      <c r="C21" s="36" t="n">
        <f aca="false">INDEX('Tien do giai ngan'!$G$10:$AA$10,A21)</f>
        <v>46415</v>
      </c>
      <c r="D21" s="37" t="n">
        <f aca="false">INDEX('Tien do giai ngan'!$G$27:$AA$27,A21)</f>
        <v>4.43329526398512</v>
      </c>
      <c r="E21" s="38" t="n">
        <f aca="false">ROUND(D21*10^9,0)</f>
        <v>4433295264</v>
      </c>
      <c r="F21" s="38" t="n">
        <f aca="false">F20+E21</f>
        <v>64690333348</v>
      </c>
      <c r="G21" s="39" t="n">
        <f aca="false">E21/$E$26</f>
        <v>0.0582802289923354</v>
      </c>
      <c r="H21" s="39" t="n">
        <f aca="false">F21/$E$26</f>
        <v>0.850421011144262</v>
      </c>
    </row>
    <row r="22" customFormat="false" ht="15" hidden="false" customHeight="false" outlineLevel="0" collapsed="false">
      <c r="A22" s="35" t="n">
        <v>18</v>
      </c>
      <c r="B22" s="36" t="n">
        <f aca="false">INDEX('Tien do giai ngan'!$G$9:$AA$9,A22)</f>
        <v>46416</v>
      </c>
      <c r="C22" s="36" t="n">
        <f aca="false">INDEX('Tien do giai ngan'!$G$10:$AA$10,A22)</f>
        <v>46425</v>
      </c>
      <c r="D22" s="37" t="n">
        <f aca="false">INDEX('Tien do giai ngan'!$G$27:$AA$27,A22)</f>
        <v>4.23262033733522</v>
      </c>
      <c r="E22" s="38" t="n">
        <f aca="false">ROUND(D22*10^9,0)</f>
        <v>4232620337</v>
      </c>
      <c r="F22" s="38" t="n">
        <f aca="false">F21+E22</f>
        <v>68922953685</v>
      </c>
      <c r="G22" s="39" t="n">
        <f aca="false">E22/$E$26</f>
        <v>0.055642150542305</v>
      </c>
      <c r="H22" s="39" t="n">
        <f aca="false">F22/$E$26</f>
        <v>0.906063161686567</v>
      </c>
    </row>
    <row r="23" customFormat="false" ht="15" hidden="false" customHeight="false" outlineLevel="0" collapsed="false">
      <c r="A23" s="35" t="n">
        <v>19</v>
      </c>
      <c r="B23" s="36" t="n">
        <f aca="false">INDEX('Tien do giai ngan'!$G$9:$AA$9,A23)</f>
        <v>46426</v>
      </c>
      <c r="C23" s="36" t="n">
        <f aca="false">INDEX('Tien do giai ngan'!$G$10:$AA$10,A23)</f>
        <v>46435</v>
      </c>
      <c r="D23" s="37" t="n">
        <f aca="false">INDEX('Tien do giai ngan'!$G$27:$AA$27,A23)</f>
        <v>4.27095128566856</v>
      </c>
      <c r="E23" s="38" t="n">
        <f aca="false">ROUND(D23*10^9,0)</f>
        <v>4270951286</v>
      </c>
      <c r="F23" s="38" t="n">
        <f aca="false">F22+E23</f>
        <v>73193904971</v>
      </c>
      <c r="G23" s="39" t="n">
        <f aca="false">E23/$E$26</f>
        <v>0.056146050317119</v>
      </c>
      <c r="H23" s="39" t="n">
        <f aca="false">F23/$E$26</f>
        <v>0.962209212003686</v>
      </c>
    </row>
    <row r="24" customFormat="false" ht="15" hidden="false" customHeight="false" outlineLevel="0" collapsed="false">
      <c r="A24" s="35" t="n">
        <v>20</v>
      </c>
      <c r="B24" s="36" t="n">
        <f aca="false">INDEX('Tien do giai ngan'!$G$9:$AA$9,A24)</f>
        <v>46436</v>
      </c>
      <c r="C24" s="36" t="n">
        <f aca="false">INDEX('Tien do giai ngan'!$G$10:$AA$10,A24)</f>
        <v>46445</v>
      </c>
      <c r="D24" s="37" t="n">
        <f aca="false">INDEX('Tien do giai ngan'!$G$27:$AA$27,A24)</f>
        <v>1.60973500877287</v>
      </c>
      <c r="E24" s="38" t="n">
        <f aca="false">ROUND(D24*10^9,0)</f>
        <v>1609735009</v>
      </c>
      <c r="F24" s="38" t="n">
        <f aca="false">F23+E24</f>
        <v>74803639980</v>
      </c>
      <c r="G24" s="39" t="n">
        <f aca="false">E24/$E$26</f>
        <v>0.02116162343242</v>
      </c>
      <c r="H24" s="39" t="n">
        <f aca="false">F24/$E$26</f>
        <v>0.983370835436106</v>
      </c>
    </row>
    <row r="25" customFormat="false" ht="15" hidden="false" customHeight="false" outlineLevel="0" collapsed="false">
      <c r="A25" s="35" t="n">
        <v>21</v>
      </c>
      <c r="B25" s="36" t="n">
        <f aca="false">INDEX('Tien do giai ngan'!$G$9:$AA$9,A25)</f>
        <v>46446</v>
      </c>
      <c r="C25" s="36" t="n">
        <f aca="false">INDEX('Tien do giai ngan'!$G$10:$AA$10,A25)</f>
        <v>46455</v>
      </c>
      <c r="D25" s="37" t="n">
        <f aca="false">INDEX('Tien do giai ngan'!$G$27:$AA$27,A25)</f>
        <v>1.26495722091176</v>
      </c>
      <c r="E25" s="38" t="n">
        <f aca="false">ROUND(D25*10^9,0)</f>
        <v>1264957221</v>
      </c>
      <c r="F25" s="38" t="n">
        <f aca="false">F24+E25</f>
        <v>76068597201</v>
      </c>
      <c r="G25" s="39" t="n">
        <f aca="false">E25/$E$26</f>
        <v>0.0166291645638941</v>
      </c>
      <c r="H25" s="39" t="n">
        <f aca="false">F25/$E$26</f>
        <v>1</v>
      </c>
    </row>
    <row r="26" customFormat="false" ht="15" hidden="false" customHeight="true" outlineLevel="0" collapsed="false">
      <c r="A26" s="40" t="s">
        <v>70</v>
      </c>
      <c r="B26" s="40"/>
      <c r="C26" s="40"/>
      <c r="D26" s="41" t="n">
        <f aca="false">SUM(D5:D25)</f>
        <v>76.0685972017861</v>
      </c>
      <c r="E26" s="42" t="n">
        <f aca="false">SUM(E5:E25)</f>
        <v>76068597201</v>
      </c>
      <c r="F26" s="43"/>
      <c r="G26" s="44" t="n">
        <f aca="false">SUM(G5:G25)</f>
        <v>1</v>
      </c>
      <c r="H26" s="43"/>
    </row>
    <row r="28" customFormat="false" ht="15" hidden="false" customHeight="false" outlineLevel="0" collapsed="false">
      <c r="A28" s="45" t="s">
        <v>71</v>
      </c>
    </row>
  </sheetData>
  <mergeCells count="3">
    <mergeCell ref="A1:H1"/>
    <mergeCell ref="A2:H2"/>
    <mergeCell ref="A26:C2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2026-10-13T07:12:29Z</dcterms:created>
  <dc:creator>openpyxl</dc:creator>
  <dc:description/>
  <dc:language>en-US</dc:language>
  <cp:lastModifiedBy/>
  <dcterms:modified xsi:type="dcterms:W3CDTF">2026-10-13T07:12:29Z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